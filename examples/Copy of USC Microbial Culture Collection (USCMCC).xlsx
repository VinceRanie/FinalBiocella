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 Search" sheetId="1" r:id="rId4"/>
    <sheet state="visible" name="Microbial Info" sheetId="2" r:id="rId5"/>
    <sheet state="visible" name="Resources" sheetId="3" r:id="rId6"/>
    <sheet state="visible" name="Bioactivity" sheetId="4" r:id="rId7"/>
    <sheet state="visible" name="Pivot Table" sheetId="5" r:id="rId8"/>
    <sheet state="visible" name="Sheet1" sheetId="6" r:id="rId9"/>
  </sheets>
  <definedNames>
    <definedName name="_xlcn.WorksheetConnection_MicrobialInfoA3Z43">'Microbial Info'!$A$3:$AD$43</definedName>
  </definedNames>
  <calcPr/>
  <extLst>
    <ext uri="GoogleSheetsCustomDataVersion2">
      <go:sheetsCustomData xmlns:go="http://customooxmlschemas.google.com/" r:id="rId10" roundtripDataChecksum="modjJmCWrnCfoCV13z/W8CqWDKDtY41X9+hcKX2AtQ4="/>
    </ext>
  </extLst>
</workbook>
</file>

<file path=xl/sharedStrings.xml><?xml version="1.0" encoding="utf-8"?>
<sst xmlns="http://schemas.openxmlformats.org/spreadsheetml/2006/main" count="605" uniqueCount="295">
  <si>
    <t>Information Sheet</t>
  </si>
  <si>
    <t>Culture Collection of Applied Microbiology Laboratory</t>
  </si>
  <si>
    <t>School of Arts &amp; Sciences, University of San Carlos - Talamban Campus</t>
  </si>
  <si>
    <t>Only input the code in the highlighted cell below (Yellow) to update information. Do not alter the formula.</t>
  </si>
  <si>
    <t>Code:</t>
  </si>
  <si>
    <t>CBN1</t>
  </si>
  <si>
    <t>Classification:</t>
  </si>
  <si>
    <t>Locale:</t>
  </si>
  <si>
    <t>Project Fund:</t>
  </si>
  <si>
    <t>Source:</t>
  </si>
  <si>
    <t>Date Accessed:</t>
  </si>
  <si>
    <t>Summary of Information</t>
  </si>
  <si>
    <t>16s rRNA Gene Sequencing</t>
  </si>
  <si>
    <t>Substrate Assimilation (API)</t>
  </si>
  <si>
    <t>FASTA File:</t>
  </si>
  <si>
    <t>ONPG:</t>
  </si>
  <si>
    <t>GLU:</t>
  </si>
  <si>
    <t>Accession No:</t>
  </si>
  <si>
    <t>ADH:</t>
  </si>
  <si>
    <t>MAN:</t>
  </si>
  <si>
    <t>Similarity %:</t>
  </si>
  <si>
    <t>LDC:</t>
  </si>
  <si>
    <t>INO:</t>
  </si>
  <si>
    <t>Biochemical Characteristics</t>
  </si>
  <si>
    <t>ODC:</t>
  </si>
  <si>
    <t>SOR:</t>
  </si>
  <si>
    <t>Catalase:</t>
  </si>
  <si>
    <t>CIT:</t>
  </si>
  <si>
    <t>RHA:</t>
  </si>
  <si>
    <t>Hemolysis:</t>
  </si>
  <si>
    <t>H2S:</t>
  </si>
  <si>
    <t>SAC:</t>
  </si>
  <si>
    <t>Oxidase:</t>
  </si>
  <si>
    <t>URE:</t>
  </si>
  <si>
    <t>MEL:</t>
  </si>
  <si>
    <t>TDA:</t>
  </si>
  <si>
    <t>AMY:</t>
  </si>
  <si>
    <t>IND:</t>
  </si>
  <si>
    <t>ARA:</t>
  </si>
  <si>
    <t>VP:</t>
  </si>
  <si>
    <t>NO2:</t>
  </si>
  <si>
    <t>GEL:</t>
  </si>
  <si>
    <t>Result:</t>
  </si>
  <si>
    <t>Cell and Colony Morphology</t>
  </si>
  <si>
    <t>Maintenance and Use</t>
  </si>
  <si>
    <t>Growth Media:</t>
  </si>
  <si>
    <t>Special Reqs:</t>
  </si>
  <si>
    <t>Activity:</t>
  </si>
  <si>
    <t>Protein and Peptides Detected</t>
  </si>
  <si>
    <t>Retention Time</t>
  </si>
  <si>
    <t>Compound</t>
  </si>
  <si>
    <t>Mobile Phase A</t>
  </si>
  <si>
    <t>Mobile Phase B</t>
  </si>
  <si>
    <t>Other Tests Performed</t>
  </si>
  <si>
    <t>Name of Test/s</t>
  </si>
  <si>
    <t>Result</t>
  </si>
  <si>
    <t>Notes</t>
  </si>
  <si>
    <t>Molecular Information</t>
  </si>
  <si>
    <t>Biochemical and Physiological Characteristics</t>
  </si>
  <si>
    <t>Analytical Profile Index</t>
  </si>
  <si>
    <t>Code</t>
  </si>
  <si>
    <t>Project</t>
  </si>
  <si>
    <t>Classification</t>
  </si>
  <si>
    <t>16s rRNA</t>
  </si>
  <si>
    <t>Similarity</t>
  </si>
  <si>
    <t>Accession Number</t>
  </si>
  <si>
    <t>Primer</t>
  </si>
  <si>
    <t>Pathogenecity</t>
  </si>
  <si>
    <t>Shape</t>
  </si>
  <si>
    <t>Cell Size</t>
  </si>
  <si>
    <t>Colony Size</t>
  </si>
  <si>
    <t>Pigmentation</t>
  </si>
  <si>
    <t>Form</t>
  </si>
  <si>
    <t>Elevation</t>
  </si>
  <si>
    <t>Margin</t>
  </si>
  <si>
    <t>Colony Surface</t>
  </si>
  <si>
    <t>Opacity</t>
  </si>
  <si>
    <t>Texture</t>
  </si>
  <si>
    <t>Spore Formation</t>
  </si>
  <si>
    <t>Mycelium Formation</t>
  </si>
  <si>
    <t>Description</t>
  </si>
  <si>
    <t>Gram's Stain</t>
  </si>
  <si>
    <t>Spore Stain</t>
  </si>
  <si>
    <t>Motility</t>
  </si>
  <si>
    <t>Catalase</t>
  </si>
  <si>
    <t>Oxidase</t>
  </si>
  <si>
    <t>Hemolysis</t>
  </si>
  <si>
    <t>Sulfide Production</t>
  </si>
  <si>
    <t>Indole Test</t>
  </si>
  <si>
    <t>Growth Media</t>
  </si>
  <si>
    <t>Optimal pH</t>
  </si>
  <si>
    <t>Optimal Temperature</t>
  </si>
  <si>
    <t>Optimal Salinity</t>
  </si>
  <si>
    <t>Optimal Growth Rate</t>
  </si>
  <si>
    <t>Assigned Identity</t>
  </si>
  <si>
    <t>API Type</t>
  </si>
  <si>
    <t>2KG 2-Ketogluconate</t>
  </si>
  <si>
    <t>5KG 5-Ketogluconate</t>
  </si>
  <si>
    <t>ADH Arginine DiHydrolase</t>
  </si>
  <si>
    <t>ADO D-Adonitol</t>
  </si>
  <si>
    <t>AMD Starch</t>
  </si>
  <si>
    <t>AMY Amygdaline</t>
  </si>
  <si>
    <t xml:space="preserve">ARA L-arabinose </t>
  </si>
  <si>
    <t>ARB Arbutine</t>
  </si>
  <si>
    <t>CEL D-Celobiose</t>
  </si>
  <si>
    <t>CIT Citrate Utilization</t>
  </si>
  <si>
    <t>DARA D-Arabinose</t>
  </si>
  <si>
    <t>DARL D-Arabitol</t>
  </si>
  <si>
    <t>DFUC D-Fucose</t>
  </si>
  <si>
    <t>DUL Dulcitol</t>
  </si>
  <si>
    <t>DXYL D-Xylose</t>
  </si>
  <si>
    <t>ERY Erytrol</t>
  </si>
  <si>
    <t>ESC Esculin</t>
  </si>
  <si>
    <t>FRU Fructose</t>
  </si>
  <si>
    <t>GAL Galactose</t>
  </si>
  <si>
    <t>GEL Gelatinase</t>
  </si>
  <si>
    <t>GEN Gentiobiose</t>
  </si>
  <si>
    <t>GLU Glucose</t>
  </si>
  <si>
    <t>GLY Glycerol</t>
  </si>
  <si>
    <t>GLYG Glycogen</t>
  </si>
  <si>
    <t>GNT Potasium gluconate</t>
  </si>
  <si>
    <t>H2S production</t>
  </si>
  <si>
    <t>IND Indole production</t>
  </si>
  <si>
    <t>INO Inozitol</t>
  </si>
  <si>
    <t>INU Inuline</t>
  </si>
  <si>
    <t>LAC D-Lactose</t>
  </si>
  <si>
    <t>LARA L-Arabinose</t>
  </si>
  <si>
    <t>LARL L-Arabitol</t>
  </si>
  <si>
    <t>LDC Lysine DeCarboxylase</t>
  </si>
  <si>
    <t>LFUC L-Fucose</t>
  </si>
  <si>
    <t>LXYL L-Xylose</t>
  </si>
  <si>
    <t>LYX D-Lyxose</t>
  </si>
  <si>
    <t>MAL D-Maltose</t>
  </si>
  <si>
    <t>MAN Manitol</t>
  </si>
  <si>
    <t>MDG Metil-a-D-Glucopyranoside</t>
  </si>
  <si>
    <t>MDM Metil-a-D-Manopyranoside</t>
  </si>
  <si>
    <t>MDX Metil-β-D-Xylopyranoside</t>
  </si>
  <si>
    <t>MEL D-Melibiose</t>
  </si>
  <si>
    <t>MLZ D-Melezitose</t>
  </si>
  <si>
    <t>MNE Manose</t>
  </si>
  <si>
    <t>NAG N-Acetyl-glucosamine Amygdaline</t>
  </si>
  <si>
    <t>NO2 production</t>
  </si>
  <si>
    <t>ODC Ornithine DeCarboxylase</t>
  </si>
  <si>
    <t>ONPG ß-galactosidase (Ortho NitroPhenyl-ßD Galactopyranosidase)</t>
  </si>
  <si>
    <t>RAF D-Rafinose</t>
  </si>
  <si>
    <t>RHA Rhamnose</t>
  </si>
  <si>
    <t>RIB Ribose</t>
  </si>
  <si>
    <t>SAC D-Sucrose</t>
  </si>
  <si>
    <t>SAL Salicin</t>
  </si>
  <si>
    <t>SBE Sorbose</t>
  </si>
  <si>
    <t>SOR Sorbitol</t>
  </si>
  <si>
    <t>TAG D-Tagatose</t>
  </si>
  <si>
    <t>TDA Tryptophane DeAminase</t>
  </si>
  <si>
    <t>TRE D-Trehalose</t>
  </si>
  <si>
    <t>TUR D-Turanose</t>
  </si>
  <si>
    <t>URE UREase</t>
  </si>
  <si>
    <t>VP Acetoin production (Voges Proskauer)</t>
  </si>
  <si>
    <t>XLT Xylitol</t>
  </si>
  <si>
    <t>ABN2</t>
  </si>
  <si>
    <t>NRCP</t>
  </si>
  <si>
    <t>Bacteria</t>
  </si>
  <si>
    <t>cocci</t>
  </si>
  <si>
    <t>off-white</t>
  </si>
  <si>
    <t>punctiform</t>
  </si>
  <si>
    <t>convex</t>
  </si>
  <si>
    <t>undulate</t>
  </si>
  <si>
    <t>smooth</t>
  </si>
  <si>
    <t>translucent</t>
  </si>
  <si>
    <t>butyrous</t>
  </si>
  <si>
    <t>gram-negative</t>
  </si>
  <si>
    <t>Positive</t>
  </si>
  <si>
    <t>Negative</t>
  </si>
  <si>
    <t>Beta-hemolysis</t>
  </si>
  <si>
    <t>ABN8</t>
  </si>
  <si>
    <t>gram-positive</t>
  </si>
  <si>
    <t>BBN22</t>
  </si>
  <si>
    <t>BBN23</t>
  </si>
  <si>
    <t>BBN24</t>
  </si>
  <si>
    <t>rods</t>
  </si>
  <si>
    <t>yellow</t>
  </si>
  <si>
    <t>irregular</t>
  </si>
  <si>
    <t>opaque</t>
  </si>
  <si>
    <t>viscous</t>
  </si>
  <si>
    <t>BBN25</t>
  </si>
  <si>
    <t>BBN26</t>
  </si>
  <si>
    <t>BBN27</t>
  </si>
  <si>
    <t>Beige to light yellow</t>
  </si>
  <si>
    <t>circular</t>
  </si>
  <si>
    <t>raised</t>
  </si>
  <si>
    <t>entire</t>
  </si>
  <si>
    <t>Alpha-hemolysis</t>
  </si>
  <si>
    <t>BBN32</t>
  </si>
  <si>
    <t/>
  </si>
  <si>
    <t>BBN42</t>
  </si>
  <si>
    <t>light pink</t>
  </si>
  <si>
    <t>flat</t>
  </si>
  <si>
    <t>mucoid and wrinkly</t>
  </si>
  <si>
    <t>BBN44</t>
  </si>
  <si>
    <t>rod</t>
  </si>
  <si>
    <t>Bacillus cereus strain DZ102</t>
  </si>
  <si>
    <t>HM015629</t>
  </si>
  <si>
    <t>white</t>
  </si>
  <si>
    <t>mucoid</t>
  </si>
  <si>
    <t>CBN10</t>
  </si>
  <si>
    <t>CBN12</t>
  </si>
  <si>
    <t>coccobacilli</t>
  </si>
  <si>
    <t>CBN13</t>
  </si>
  <si>
    <t>dull and matte</t>
  </si>
  <si>
    <t>CBN16</t>
  </si>
  <si>
    <t>Bacteria (Pathogen)</t>
  </si>
  <si>
    <t>CBN19</t>
  </si>
  <si>
    <t>CBN5</t>
  </si>
  <si>
    <t>CBN7</t>
  </si>
  <si>
    <t>MCL001</t>
  </si>
  <si>
    <t>MicroLab Strains</t>
  </si>
  <si>
    <t>Aeromonas hydrophila</t>
  </si>
  <si>
    <t>Reference Strain</t>
  </si>
  <si>
    <t>MCL002</t>
  </si>
  <si>
    <t>Fungi (Pathogen)</t>
  </si>
  <si>
    <t>Aspergillus niger</t>
  </si>
  <si>
    <t>flask</t>
  </si>
  <si>
    <t>MCL003</t>
  </si>
  <si>
    <t>Aureobasidium pullulans (Code: V)</t>
  </si>
  <si>
    <t>Variable</t>
  </si>
  <si>
    <t>MCL004</t>
  </si>
  <si>
    <t>Bacillus cereus</t>
  </si>
  <si>
    <t>MCL005</t>
  </si>
  <si>
    <t>Bacillus clausii</t>
  </si>
  <si>
    <t>MCL006</t>
  </si>
  <si>
    <t>Bacillus subtilis</t>
  </si>
  <si>
    <t>MCL007</t>
  </si>
  <si>
    <t>Bacillus thuringiensis</t>
  </si>
  <si>
    <t>MCL008</t>
  </si>
  <si>
    <t>Candida albicans</t>
  </si>
  <si>
    <t>MCL009</t>
  </si>
  <si>
    <t>Candida bombicola</t>
  </si>
  <si>
    <t>MCL0010</t>
  </si>
  <si>
    <t>Candida tropicalis</t>
  </si>
  <si>
    <t>MCL0011</t>
  </si>
  <si>
    <t>Chromobacterium violaceum</t>
  </si>
  <si>
    <t>MCL0012</t>
  </si>
  <si>
    <t>Colletotrichum capsici</t>
  </si>
  <si>
    <t>MCL0013</t>
  </si>
  <si>
    <t>Corynebacterium glutamicum</t>
  </si>
  <si>
    <t>MCL0014</t>
  </si>
  <si>
    <t>Escherichia coli</t>
  </si>
  <si>
    <t>MCL0015</t>
  </si>
  <si>
    <t>Escherichia coli OP50</t>
  </si>
  <si>
    <t>MCL0016</t>
  </si>
  <si>
    <t>Fusarium oxysporum</t>
  </si>
  <si>
    <t>MCL0017</t>
  </si>
  <si>
    <t>Klebsiella pneumoniae</t>
  </si>
  <si>
    <t>MCL0018</t>
  </si>
  <si>
    <t>Lactobacillus delbruckii</t>
  </si>
  <si>
    <t>MCL0019</t>
  </si>
  <si>
    <t>Methicilin-resistant Staphylococcus aureus</t>
  </si>
  <si>
    <t>MCL0020</t>
  </si>
  <si>
    <t>Micrococcus luteus</t>
  </si>
  <si>
    <t>MCL0021</t>
  </si>
  <si>
    <t>Proteus vulgaris</t>
  </si>
  <si>
    <t>Culture Collection Fund Source</t>
  </si>
  <si>
    <t>Locale</t>
  </si>
  <si>
    <t>Source</t>
  </si>
  <si>
    <t>Special Requirement/s</t>
  </si>
  <si>
    <t>Stock Culture Type</t>
  </si>
  <si>
    <t>Stock Medium</t>
  </si>
  <si>
    <t>NRCP Sediment Project</t>
  </si>
  <si>
    <t>Bantayan Island, Cebu</t>
  </si>
  <si>
    <t>Mangrove Sediment</t>
  </si>
  <si>
    <t>MicroLab Culture Collection</t>
  </si>
  <si>
    <t>Lab Collection</t>
  </si>
  <si>
    <t>Microorganisms Tested</t>
  </si>
  <si>
    <t>Bioactivity</t>
  </si>
  <si>
    <t>Assay/Protocol Used</t>
  </si>
  <si>
    <t>Test Microorganism (1)</t>
  </si>
  <si>
    <t>Result (1)</t>
  </si>
  <si>
    <t>Test Microorganism (2)</t>
  </si>
  <si>
    <t>Result (2)</t>
  </si>
  <si>
    <t>Test Microorganism (3)</t>
  </si>
  <si>
    <t>Result (3)</t>
  </si>
  <si>
    <t>Test Microorganism (4)</t>
  </si>
  <si>
    <t>Result (4)</t>
  </si>
  <si>
    <t>Test Microorganism (5)</t>
  </si>
  <si>
    <t>Result (5)</t>
  </si>
  <si>
    <t>Antimicrobial</t>
  </si>
  <si>
    <t>Agar-well Diffusion Method</t>
  </si>
  <si>
    <t>Staphylococcus aureus</t>
  </si>
  <si>
    <t>Susceptible</t>
  </si>
  <si>
    <t>Descriptive Summary of USC Microbial Collection</t>
  </si>
  <si>
    <t>Row Labels</t>
  </si>
  <si>
    <t>Count of Gram's Stain</t>
  </si>
  <si>
    <t>Grand Total</t>
  </si>
  <si>
    <t>Email Address</t>
  </si>
  <si>
    <t>20102188@usc.edu.ph</t>
  </si>
  <si>
    <t>IT Dep USC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</si>
</sst>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1.0"/>
      <color theme="1"/>
      <name val="Calibri"/>
      <scheme val="minor"/>
    </font>
    <font>
      <sz val="11.0"/>
      <color theme="1"/>
      <name val="Garamond"/>
    </font>
    <font>
      <b/>
      <sz val="16.0"/>
      <color theme="1"/>
      <name val="Garamond"/>
    </font>
    <font>
      <sz val="10.0"/>
      <color theme="1"/>
      <name val="Garamond"/>
    </font>
    <font>
      <b/>
      <i/>
      <sz val="16.0"/>
      <color theme="1"/>
      <name val="Garamond"/>
    </font>
    <font>
      <sz val="8.0"/>
      <color theme="1"/>
      <name val="Garamond"/>
    </font>
    <font/>
    <font>
      <u/>
      <sz val="10.0"/>
      <color theme="1"/>
      <name val="Garamond"/>
    </font>
    <font>
      <sz val="9.0"/>
      <color theme="1"/>
      <name val="Garamond"/>
    </font>
    <font>
      <b/>
      <sz val="14.0"/>
      <color theme="1"/>
      <name val="Garamond"/>
    </font>
    <font>
      <b/>
      <sz val="12.0"/>
      <color theme="1"/>
      <name val="Garamond"/>
    </font>
    <font>
      <b/>
      <u/>
      <sz val="9.0"/>
      <color theme="1"/>
      <name val="Garamond"/>
    </font>
    <font>
      <b/>
      <sz val="9.0"/>
      <color theme="1"/>
      <name val="Garamond"/>
    </font>
    <font>
      <b/>
      <u/>
      <sz val="9.0"/>
      <color theme="1"/>
      <name val="Garamond"/>
    </font>
    <font>
      <b/>
      <u/>
      <sz val="9.0"/>
      <color theme="1"/>
      <name val="Garamond"/>
    </font>
    <font>
      <sz val="9.0"/>
      <color theme="0"/>
      <name val="Garamond"/>
    </font>
    <font>
      <i/>
      <sz val="9.0"/>
      <color theme="1"/>
      <name val="Calibri"/>
    </font>
    <font>
      <b/>
      <sz val="11.0"/>
      <color theme="1"/>
      <name val="Garamond"/>
    </font>
    <font>
      <b/>
      <sz val="10.0"/>
      <color theme="1"/>
      <name val="Garamond"/>
    </font>
    <font>
      <sz val="11.0"/>
      <color rgb="FF385623"/>
      <name val="Garamond"/>
    </font>
    <font>
      <sz val="11.0"/>
      <color theme="1"/>
      <name val="Calibri"/>
    </font>
    <font>
      <b/>
      <sz val="18.0"/>
      <color theme="1"/>
      <name val="Calibri"/>
    </font>
    <font>
      <sz val="20.0"/>
      <color theme="1"/>
      <name val="Calibri"/>
    </font>
    <font>
      <b/>
      <sz val="14.0"/>
      <color theme="0"/>
      <name val="Calibri"/>
    </font>
    <font>
      <b/>
      <sz val="14.0"/>
      <color rgb="FFFFFFFF"/>
      <name val="Calibri"/>
    </font>
    <font>
      <b/>
      <sz val="14.0"/>
      <color theme="1"/>
      <name val="Calibri"/>
    </font>
    <font>
      <i/>
      <sz val="11.0"/>
      <color theme="1"/>
      <name val="Calibri"/>
    </font>
    <font>
      <sz val="8.0"/>
      <color theme="1"/>
      <name val="Calibri"/>
    </font>
    <font>
      <sz val="10.0"/>
      <color theme="1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sz val="11.0"/>
      <color theme="0"/>
      <name val="Calibri"/>
    </font>
    <font>
      <sz val="28.0"/>
      <color theme="0"/>
      <name val="Garamond"/>
    </font>
    <font>
      <color theme="1"/>
      <name val="Calibri"/>
    </font>
    <font>
      <u/>
      <sz val="11.0"/>
      <color theme="1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  <fill>
      <patternFill patternType="solid">
        <fgColor rgb="FF385623"/>
        <bgColor rgb="FF385623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CCFFFF"/>
        <bgColor rgb="FFCCFFFF"/>
      </patternFill>
    </fill>
    <fill>
      <patternFill patternType="solid">
        <fgColor rgb="FFDEEAF6"/>
        <bgColor rgb="FFDEEAF6"/>
      </patternFill>
    </fill>
    <fill>
      <patternFill patternType="solid">
        <fgColor rgb="FFFFCCCC"/>
        <bgColor rgb="FFFFCCCC"/>
      </patternFill>
    </fill>
    <fill>
      <patternFill patternType="solid">
        <fgColor rgb="FFFFE598"/>
        <bgColor rgb="FFFFE598"/>
      </patternFill>
    </fill>
    <fill>
      <patternFill patternType="solid">
        <fgColor rgb="FF0C0C0C"/>
        <bgColor rgb="FF0C0C0C"/>
      </patternFill>
    </fill>
    <fill>
      <patternFill patternType="solid">
        <fgColor theme="1"/>
        <bgColor theme="1"/>
      </patternFill>
    </fill>
    <fill>
      <patternFill patternType="solid">
        <fgColor rgb="FF1F3864"/>
        <bgColor rgb="FF1F3864"/>
      </patternFill>
    </fill>
  </fills>
  <borders count="33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theme="1"/>
      </top>
    </border>
    <border>
      <bottom style="thin">
        <color theme="1"/>
      </bottom>
    </border>
    <border>
      <left style="thin">
        <color rgb="FF000000"/>
      </left>
      <right/>
      <top/>
      <bottom/>
    </border>
    <border>
      <top style="thin">
        <color theme="1"/>
      </top>
      <bottom style="thin">
        <color theme="1"/>
      </bottom>
    </border>
    <border>
      <left/>
      <right/>
      <top style="thin">
        <color theme="1"/>
      </top>
      <bottom/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3" fontId="1" numFmtId="0" xfId="0" applyBorder="1" applyFill="1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top"/>
    </xf>
    <xf borderId="1" fillId="3" fontId="1" numFmtId="0" xfId="0" applyAlignment="1" applyBorder="1" applyFont="1">
      <alignment horizontal="right"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vertical="center"/>
    </xf>
    <xf borderId="0" fillId="0" fontId="4" numFmtId="0" xfId="0" applyAlignment="1" applyFont="1">
      <alignment vertical="center"/>
    </xf>
    <xf borderId="2" fillId="0" fontId="5" numFmtId="0" xfId="0" applyAlignment="1" applyBorder="1" applyFont="1">
      <alignment horizontal="left" shrinkToFit="0" vertical="center" wrapText="1"/>
    </xf>
    <xf borderId="2" fillId="0" fontId="6" numFmtId="0" xfId="0" applyBorder="1" applyFont="1"/>
    <xf borderId="3" fillId="0" fontId="3" numFmtId="0" xfId="0" applyAlignment="1" applyBorder="1" applyFont="1">
      <alignment horizontal="right" vertical="center"/>
    </xf>
    <xf borderId="4" fillId="5" fontId="7" numFmtId="0" xfId="0" applyAlignment="1" applyBorder="1" applyFill="1" applyFont="1">
      <alignment horizontal="left" vertical="center"/>
    </xf>
    <xf borderId="5" fillId="0" fontId="3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right" vertical="center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righ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right" vertical="center"/>
    </xf>
    <xf borderId="0" fillId="0" fontId="8" numFmtId="0" xfId="0" applyAlignment="1" applyFont="1">
      <alignment horizontal="left" vertical="center"/>
    </xf>
    <xf borderId="8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right" vertical="center"/>
    </xf>
    <xf borderId="2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right" vertical="center"/>
    </xf>
    <xf borderId="2" fillId="0" fontId="3" numFmtId="14" xfId="0" applyAlignment="1" applyBorder="1" applyFont="1" applyNumberFormat="1">
      <alignment horizontal="left" vertical="center"/>
    </xf>
    <xf borderId="10" fillId="0" fontId="3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1" fillId="4" fontId="9" numFmtId="0" xfId="0" applyAlignment="1" applyBorder="1" applyFont="1">
      <alignment vertical="center"/>
    </xf>
    <xf borderId="11" fillId="4" fontId="10" numFmtId="0" xfId="0" applyAlignment="1" applyBorder="1" applyFont="1">
      <alignment vertical="center"/>
    </xf>
    <xf borderId="12" fillId="6" fontId="11" numFmtId="0" xfId="0" applyAlignment="1" applyBorder="1" applyFill="1" applyFont="1">
      <alignment vertical="center"/>
    </xf>
    <xf borderId="4" fillId="6" fontId="12" numFmtId="0" xfId="0" applyAlignment="1" applyBorder="1" applyFont="1">
      <alignment vertical="center"/>
    </xf>
    <xf borderId="6" fillId="0" fontId="12" numFmtId="0" xfId="0" applyAlignment="1" applyBorder="1" applyFont="1">
      <alignment horizontal="center" vertical="center"/>
    </xf>
    <xf borderId="13" fillId="6" fontId="13" numFmtId="0" xfId="0" applyAlignment="1" applyBorder="1" applyFont="1">
      <alignment horizontal="center" vertical="center"/>
    </xf>
    <xf borderId="14" fillId="0" fontId="6" numFmtId="0" xfId="0" applyBorder="1" applyFont="1"/>
    <xf borderId="15" fillId="0" fontId="6" numFmtId="0" xfId="0" applyBorder="1" applyFont="1"/>
    <xf borderId="7" fillId="0" fontId="8" numFmtId="0" xfId="0" applyAlignment="1" applyBorder="1" applyFont="1">
      <alignment horizontal="left" vertical="center"/>
    </xf>
    <xf borderId="0" fillId="0" fontId="8" numFmtId="10" xfId="0" applyAlignment="1" applyFont="1" applyNumberFormat="1">
      <alignment horizontal="left" vertical="center"/>
    </xf>
    <xf borderId="8" fillId="0" fontId="6" numFmtId="0" xfId="0" applyBorder="1" applyFont="1"/>
    <xf borderId="7" fillId="0" fontId="8" numFmtId="0" xfId="0" applyAlignment="1" applyBorder="1" applyFont="1">
      <alignment horizontal="right" vertical="center"/>
    </xf>
    <xf borderId="0" fillId="0" fontId="8" numFmtId="0" xfId="0" applyAlignment="1" applyFont="1">
      <alignment horizontal="right" vertical="center"/>
    </xf>
    <xf borderId="8" fillId="0" fontId="8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9" fillId="0" fontId="8" numFmtId="0" xfId="0" applyAlignment="1" applyBorder="1" applyFont="1">
      <alignment horizontal="left" vertical="center"/>
    </xf>
    <xf borderId="2" fillId="0" fontId="8" numFmtId="10" xfId="0" applyAlignment="1" applyBorder="1" applyFont="1" applyNumberFormat="1">
      <alignment horizontal="left" vertical="center"/>
    </xf>
    <xf borderId="10" fillId="0" fontId="6" numFmtId="0" xfId="0" applyBorder="1" applyFont="1"/>
    <xf borderId="12" fillId="6" fontId="14" numFmtId="0" xfId="0" applyAlignment="1" applyBorder="1" applyFont="1">
      <alignment horizontal="left" vertical="center"/>
    </xf>
    <xf borderId="1" fillId="6" fontId="12" numFmtId="0" xfId="0" applyAlignment="1" applyBorder="1" applyFont="1">
      <alignment horizontal="right" vertical="center"/>
    </xf>
    <xf borderId="8" fillId="0" fontId="12" numFmtId="0" xfId="0" applyAlignment="1" applyBorder="1" applyFont="1">
      <alignment horizontal="center" vertical="center"/>
    </xf>
    <xf borderId="0" fillId="0" fontId="8" numFmtId="0" xfId="0" applyAlignment="1" applyFont="1">
      <alignment horizontal="right" shrinkToFit="0" vertical="center" wrapText="1"/>
    </xf>
    <xf borderId="7" fillId="0" fontId="8" numFmtId="0" xfId="0" applyAlignment="1" applyBorder="1" applyFont="1">
      <alignment horizontal="right" shrinkToFit="0" vertical="center" wrapText="1"/>
    </xf>
    <xf borderId="8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right" shrinkToFit="0" wrapText="1"/>
    </xf>
    <xf borderId="7" fillId="0" fontId="1" numFmtId="0" xfId="0" applyBorder="1" applyFont="1"/>
    <xf borderId="0" fillId="0" fontId="8" numFmtId="0" xfId="0" applyAlignment="1" applyFont="1">
      <alignment horizontal="center" vertical="center"/>
    </xf>
    <xf borderId="8" fillId="0" fontId="8" numFmtId="0" xfId="0" applyAlignment="1" applyBorder="1" applyFont="1">
      <alignment shrinkToFit="0" vertical="center" wrapText="1"/>
    </xf>
    <xf borderId="8" fillId="0" fontId="15" numFmtId="0" xfId="0" applyAlignment="1" applyBorder="1" applyFont="1">
      <alignment horizontal="right" vertical="center"/>
    </xf>
    <xf borderId="8" fillId="0" fontId="8" numFmtId="0" xfId="0" applyAlignment="1" applyBorder="1" applyFont="1">
      <alignment horizontal="right" vertical="center"/>
    </xf>
    <xf borderId="9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right" vertical="center"/>
    </xf>
    <xf borderId="9" fillId="0" fontId="8" numFmtId="0" xfId="0" applyAlignment="1" applyBorder="1" applyFont="1">
      <alignment horizontal="right" vertical="center"/>
    </xf>
    <xf borderId="2" fillId="0" fontId="8" numFmtId="0" xfId="0" applyAlignment="1" applyBorder="1" applyFont="1">
      <alignment horizontal="left" vertical="center"/>
    </xf>
    <xf borderId="2" fillId="0" fontId="8" numFmtId="0" xfId="0" applyAlignment="1" applyBorder="1" applyFont="1">
      <alignment horizontal="right" vertical="center"/>
    </xf>
    <xf borderId="16" fillId="0" fontId="5" numFmtId="0" xfId="0" applyAlignment="1" applyBorder="1" applyFont="1">
      <alignment horizontal="center" vertical="center"/>
    </xf>
    <xf borderId="7" fillId="0" fontId="16" numFmtId="0" xfId="0" applyAlignment="1" applyBorder="1" applyFont="1">
      <alignment horizontal="left" shrinkToFit="0" vertical="top" wrapText="1"/>
    </xf>
    <xf borderId="7" fillId="0" fontId="6" numFmtId="0" xfId="0" applyBorder="1" applyFont="1"/>
    <xf borderId="9" fillId="0" fontId="6" numFmtId="0" xfId="0" applyBorder="1" applyFont="1"/>
    <xf borderId="0" fillId="0" fontId="1" numFmtId="0" xfId="0" applyAlignment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right" shrinkToFit="0" vertical="center" wrapText="1"/>
    </xf>
    <xf borderId="1" fillId="4" fontId="10" numFmtId="0" xfId="0" applyAlignment="1" applyBorder="1" applyFont="1">
      <alignment horizontal="left" vertical="center"/>
    </xf>
    <xf borderId="1" fillId="4" fontId="10" numFmtId="0" xfId="0" applyAlignment="1" applyBorder="1" applyFont="1">
      <alignment horizontal="right" vertical="center"/>
    </xf>
    <xf borderId="1" fillId="4" fontId="10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right" vertical="center"/>
    </xf>
    <xf borderId="3" fillId="0" fontId="8" numFmtId="0" xfId="0" applyAlignment="1" applyBorder="1" applyFont="1">
      <alignment horizontal="left" shrinkToFit="0" vertical="center" wrapText="1"/>
    </xf>
    <xf borderId="5" fillId="0" fontId="6" numFmtId="0" xfId="0" applyBorder="1" applyFont="1"/>
    <xf borderId="6" fillId="0" fontId="6" numFmtId="0" xfId="0" applyBorder="1" applyFont="1"/>
    <xf borderId="7" fillId="0" fontId="8" numFmtId="0" xfId="0" applyAlignment="1" applyBorder="1" applyFont="1">
      <alignment horizontal="left" shrinkToFit="0" vertical="center" wrapText="1"/>
    </xf>
    <xf borderId="9" fillId="0" fontId="8" numFmtId="10" xfId="0" applyAlignment="1" applyBorder="1" applyFont="1" applyNumberFormat="1">
      <alignment horizontal="left" shrinkToFit="0" vertical="center" wrapText="1"/>
    </xf>
    <xf borderId="12" fillId="4" fontId="17" numFmtId="0" xfId="0" applyAlignment="1" applyBorder="1" applyFont="1">
      <alignment horizontal="left" vertical="center"/>
    </xf>
    <xf borderId="1" fillId="4" fontId="17" numFmtId="0" xfId="0" applyAlignment="1" applyBorder="1" applyFont="1">
      <alignment horizontal="right" vertical="center"/>
    </xf>
    <xf borderId="1" fillId="4" fontId="1" numFmtId="0" xfId="0" applyAlignment="1" applyBorder="1" applyFont="1">
      <alignment horizontal="right" vertical="center"/>
    </xf>
    <xf borderId="1" fillId="4" fontId="1" numFmtId="0" xfId="0" applyAlignment="1" applyBorder="1" applyFont="1">
      <alignment horizontal="center" vertical="center"/>
    </xf>
    <xf borderId="17" fillId="4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right" vertical="center"/>
    </xf>
    <xf borderId="9" fillId="0" fontId="1" numFmtId="0" xfId="0" applyAlignment="1" applyBorder="1" applyFont="1">
      <alignment horizontal="right" vertical="center"/>
    </xf>
    <xf borderId="2" fillId="0" fontId="1" numFmtId="0" xfId="0" applyAlignment="1" applyBorder="1" applyFont="1">
      <alignment horizontal="right" vertical="center"/>
    </xf>
    <xf borderId="2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8" fillId="4" fontId="17" numFmtId="0" xfId="0" applyAlignment="1" applyBorder="1" applyFont="1">
      <alignment horizontal="center"/>
    </xf>
    <xf borderId="19" fillId="0" fontId="6" numFmtId="0" xfId="0" applyBorder="1" applyFont="1"/>
    <xf borderId="2" fillId="0" fontId="3" numFmtId="0" xfId="0" applyAlignment="1" applyBorder="1" applyFont="1">
      <alignment horizontal="left"/>
    </xf>
    <xf borderId="2" fillId="0" fontId="17" numFmtId="0" xfId="0" applyAlignment="1" applyBorder="1" applyFont="1">
      <alignment horizontal="left"/>
    </xf>
    <xf borderId="2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3" numFmtId="0" xfId="0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0" fillId="0" fontId="2" numFmtId="0" xfId="0" applyAlignment="1" applyFont="1">
      <alignment vertical="center"/>
    </xf>
    <xf borderId="2" fillId="0" fontId="18" numFmtId="0" xfId="0" applyAlignment="1" applyBorder="1" applyFont="1">
      <alignment horizontal="left"/>
    </xf>
    <xf borderId="0" fillId="0" fontId="18" numFmtId="0" xfId="0" applyAlignment="1" applyFont="1">
      <alignment vertical="center"/>
    </xf>
    <xf borderId="0" fillId="0" fontId="3" numFmtId="0" xfId="0" applyAlignment="1" applyFont="1">
      <alignment vertical="top"/>
    </xf>
    <xf borderId="21" fillId="0" fontId="3" numFmtId="0" xfId="0" applyAlignment="1" applyBorder="1" applyFont="1">
      <alignment horizontal="left"/>
    </xf>
    <xf borderId="3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3" numFmtId="0" xfId="0" applyAlignment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1" fillId="3" fontId="19" numFmtId="0" xfId="0" applyBorder="1" applyFont="1"/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horizontal="center"/>
    </xf>
    <xf borderId="20" fillId="7" fontId="21" numFmtId="0" xfId="0" applyAlignment="1" applyBorder="1" applyFill="1" applyFont="1">
      <alignment horizontal="center" vertical="center"/>
    </xf>
    <xf borderId="21" fillId="0" fontId="6" numFmtId="0" xfId="0" applyBorder="1" applyFont="1"/>
    <xf borderId="20" fillId="8" fontId="21" numFmtId="0" xfId="0" applyAlignment="1" applyBorder="1" applyFill="1" applyFont="1">
      <alignment horizontal="center" vertical="center"/>
    </xf>
    <xf borderId="23" fillId="8" fontId="20" numFmtId="0" xfId="0" applyAlignment="1" applyBorder="1" applyFont="1">
      <alignment horizontal="center" vertical="center"/>
    </xf>
    <xf borderId="24" fillId="9" fontId="21" numFmtId="0" xfId="0" applyAlignment="1" applyBorder="1" applyFill="1" applyFont="1">
      <alignment horizontal="center" vertical="center"/>
    </xf>
    <xf borderId="24" fillId="10" fontId="22" numFmtId="0" xfId="0" applyAlignment="1" applyBorder="1" applyFill="1" applyFont="1">
      <alignment horizontal="center" vertical="top"/>
    </xf>
    <xf borderId="1" fillId="11" fontId="23" numFmtId="0" xfId="0" applyAlignment="1" applyBorder="1" applyFill="1" applyFont="1">
      <alignment horizontal="center" vertical="center"/>
    </xf>
    <xf borderId="25" fillId="11" fontId="23" numFmtId="0" xfId="0" applyAlignment="1" applyBorder="1" applyFont="1">
      <alignment horizontal="center" vertical="center"/>
    </xf>
    <xf borderId="11" fillId="11" fontId="23" numFmtId="0" xfId="0" applyAlignment="1" applyBorder="1" applyFont="1">
      <alignment horizontal="center" vertical="center"/>
    </xf>
    <xf borderId="26" fillId="11" fontId="24" numFmtId="0" xfId="0" applyAlignment="1" applyBorder="1" applyFont="1">
      <alignment horizontal="center" vertical="center"/>
    </xf>
    <xf borderId="27" fillId="11" fontId="23" numFmtId="0" xfId="0" applyAlignment="1" applyBorder="1" applyFont="1">
      <alignment horizontal="center" vertical="center"/>
    </xf>
    <xf borderId="23" fillId="11" fontId="23" numFmtId="0" xfId="0" applyAlignment="1" applyBorder="1" applyFont="1">
      <alignment horizontal="center" vertical="center"/>
    </xf>
    <xf borderId="1" fillId="11" fontId="25" numFmtId="0" xfId="0" applyAlignment="1" applyBorder="1" applyFont="1">
      <alignment horizontal="center" vertical="center"/>
    </xf>
    <xf borderId="0" fillId="0" fontId="25" numFmtId="0" xfId="0" applyFont="1"/>
    <xf borderId="28" fillId="0" fontId="20" numFmtId="0" xfId="0" applyBorder="1" applyFont="1"/>
    <xf borderId="29" fillId="0" fontId="20" numFmtId="0" xfId="0" applyBorder="1" applyFont="1"/>
    <xf borderId="0" fillId="0" fontId="20" numFmtId="0" xfId="0" applyAlignment="1" applyFont="1">
      <alignment horizontal="left" vertical="center"/>
    </xf>
    <xf borderId="30" fillId="7" fontId="26" numFmtId="0" xfId="0" applyBorder="1" applyFont="1"/>
    <xf borderId="1" fillId="7" fontId="20" numFmtId="10" xfId="0" applyAlignment="1" applyBorder="1" applyFont="1" applyNumberFormat="1">
      <alignment horizontal="center"/>
    </xf>
    <xf borderId="1" fillId="7" fontId="20" numFmtId="10" xfId="0" applyAlignment="1" applyBorder="1" applyFont="1" applyNumberFormat="1">
      <alignment horizontal="left"/>
    </xf>
    <xf borderId="30" fillId="8" fontId="20" numFmtId="0" xfId="0" applyAlignment="1" applyBorder="1" applyFont="1">
      <alignment horizontal="center" vertical="center"/>
    </xf>
    <xf borderId="1" fillId="8" fontId="20" numFmtId="0" xfId="0" applyAlignment="1" applyBorder="1" applyFont="1">
      <alignment horizontal="center" vertical="center"/>
    </xf>
    <xf borderId="17" fillId="8" fontId="27" numFmtId="0" xfId="0" applyAlignment="1" applyBorder="1" applyFont="1">
      <alignment horizontal="left" vertical="top"/>
    </xf>
    <xf borderId="1" fillId="9" fontId="20" numFmtId="0" xfId="0" applyBorder="1" applyFont="1"/>
    <xf borderId="30" fillId="10" fontId="20" numFmtId="0" xfId="0" applyBorder="1" applyFont="1"/>
    <xf borderId="1" fillId="10" fontId="20" numFmtId="0" xfId="0" applyBorder="1" applyFont="1"/>
    <xf borderId="1" fillId="7" fontId="20" numFmtId="0" xfId="0" applyAlignment="1" applyBorder="1" applyFont="1">
      <alignment horizontal="center"/>
    </xf>
    <xf borderId="1" fillId="7" fontId="20" numFmtId="0" xfId="0" applyAlignment="1" applyBorder="1" applyFont="1">
      <alignment horizontal="left"/>
    </xf>
    <xf borderId="26" fillId="10" fontId="20" numFmtId="0" xfId="0" applyBorder="1" applyFont="1"/>
    <xf borderId="27" fillId="10" fontId="20" numFmtId="0" xfId="0" applyBorder="1" applyFont="1"/>
    <xf borderId="23" fillId="10" fontId="20" numFmtId="0" xfId="0" applyBorder="1" applyFont="1"/>
    <xf borderId="31" fillId="0" fontId="20" numFmtId="0" xfId="0" applyBorder="1" applyFont="1"/>
    <xf borderId="1" fillId="7" fontId="28" numFmtId="10" xfId="0" applyAlignment="1" applyBorder="1" applyFont="1" applyNumberFormat="1">
      <alignment horizontal="center"/>
    </xf>
    <xf borderId="1" fillId="10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25" fillId="7" fontId="26" numFmtId="0" xfId="0" applyBorder="1" applyFont="1"/>
    <xf borderId="11" fillId="7" fontId="20" numFmtId="0" xfId="0" applyAlignment="1" applyBorder="1" applyFont="1">
      <alignment horizontal="center"/>
    </xf>
    <xf borderId="11" fillId="7" fontId="20" numFmtId="0" xfId="0" applyAlignment="1" applyBorder="1" applyFont="1">
      <alignment horizontal="left"/>
    </xf>
    <xf borderId="25" fillId="8" fontId="20" numFmtId="0" xfId="0" applyAlignment="1" applyBorder="1" applyFont="1">
      <alignment horizontal="center" vertical="center"/>
    </xf>
    <xf borderId="11" fillId="8" fontId="20" numFmtId="0" xfId="0" applyAlignment="1" applyBorder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0" numFmtId="0" xfId="0" applyFont="1"/>
    <xf borderId="0" fillId="0" fontId="29" numFmtId="0" xfId="0" applyAlignment="1" applyFont="1">
      <alignment horizontal="center" vertical="center"/>
    </xf>
    <xf borderId="32" fillId="12" fontId="30" numFmtId="0" xfId="0" applyAlignment="1" applyBorder="1" applyFill="1" applyFont="1">
      <alignment horizontal="center" vertical="center"/>
    </xf>
    <xf borderId="1" fillId="12" fontId="30" numFmtId="0" xfId="0" applyAlignment="1" applyBorder="1" applyFont="1">
      <alignment horizontal="center" vertical="center"/>
    </xf>
    <xf borderId="0" fillId="0" fontId="29" numFmtId="0" xfId="0" applyAlignment="1" applyFont="1">
      <alignment horizontal="center" shrinkToFit="0" vertical="center" wrapText="1"/>
    </xf>
    <xf borderId="0" fillId="0" fontId="20" numFmtId="0" xfId="0" applyFont="1"/>
    <xf borderId="28" fillId="0" fontId="20" numFmtId="0" xfId="0" applyAlignment="1" applyBorder="1" applyFont="1">
      <alignment horizontal="center" vertical="center"/>
    </xf>
    <xf borderId="0" fillId="0" fontId="31" numFmtId="0" xfId="0" applyFont="1"/>
    <xf borderId="18" fillId="12" fontId="24" numFmtId="0" xfId="0" applyAlignment="1" applyBorder="1" applyFont="1">
      <alignment horizontal="center"/>
    </xf>
    <xf borderId="18" fillId="13" fontId="32" numFmtId="0" xfId="0" applyAlignment="1" applyBorder="1" applyFill="1" applyFont="1">
      <alignment horizontal="center"/>
    </xf>
    <xf borderId="0" fillId="0" fontId="33" numFmtId="0" xfId="0" applyFont="1"/>
    <xf borderId="0" fillId="0" fontId="20" numFmtId="0" xfId="0" applyAlignment="1" applyFont="1">
      <alignment horizontal="left"/>
    </xf>
    <xf borderId="0" fillId="0" fontId="29" numFmtId="0" xfId="0" applyFont="1"/>
    <xf borderId="0" fillId="0" fontId="3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4">
    <tableStyle count="3" pivot="0" name="Microbial Info-style">
      <tableStyleElement dxfId="1" type="headerRow"/>
      <tableStyleElement dxfId="2" type="firstRowStripe"/>
      <tableStyleElement dxfId="3" type="secondRowStripe"/>
    </tableStyle>
    <tableStyle count="3" pivot="0" name="Microbial Info-style 2">
      <tableStyleElement dxfId="1" type="headerRow"/>
      <tableStyleElement dxfId="2" type="firstRowStripe"/>
      <tableStyleElement dxfId="3" type="secondRowStripe"/>
    </tableStyle>
    <tableStyle count="3" pivot="0" name="Resources-style">
      <tableStyleElement dxfId="1" type="headerRow"/>
      <tableStyleElement dxfId="2" type="firstRowStripe"/>
      <tableStyleElement dxfId="3" type="secondRowStripe"/>
    </tableStyle>
    <tableStyle count="3" pivot="0" name="Bioactivit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100">
                <a:solidFill>
                  <a:srgbClr val="000000"/>
                </a:solidFill>
                <a:latin typeface="+mn-lt"/>
              </a:defRPr>
            </a:pPr>
            <a:r>
              <a:rPr b="0" i="0" sz="1100">
                <a:solidFill>
                  <a:srgbClr val="000000"/>
                </a:solidFill>
                <a:latin typeface="+mn-lt"/>
              </a:rPr>
              <a:t>Count of Gram Stained Samples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Table'!$C$4</c:f>
            </c:strRef>
          </c:tx>
          <c:dPt>
            <c:idx val="0"/>
            <c:explosion val="21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chemeClr val="accent5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Table'!$B$5:$B$7</c:f>
            </c:strRef>
          </c:cat>
          <c:val>
            <c:numRef>
              <c:f>'Pivot Table'!$C$5:$C$7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layout>
        <c:manualLayout>
          <c:xMode val="edge"/>
          <c:yMode val="edge"/>
          <c:x val="0.026643028965315722"/>
          <c:y val="0.8032896188148008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276475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95250</xdr:rowOff>
    </xdr:from>
    <xdr:ext cx="3619500" cy="2190750"/>
    <xdr:graphicFrame>
      <xdr:nvGraphicFramePr>
        <xdr:cNvPr id="48423790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B43" displayName="Table_1" name="Table_1" id="1">
  <tableColumns count="2">
    <tableColumn name="Code" id="1"/>
    <tableColumn name="Project" id="2"/>
  </tableColumns>
  <tableStyleInfo name="Microbial Info-style" showColumnStripes="0" showFirstColumn="1" showLastColumn="1" showRowStripes="1"/>
</table>
</file>

<file path=xl/tables/table2.xml><?xml version="1.0" encoding="utf-8"?>
<table xmlns="http://schemas.openxmlformats.org/spreadsheetml/2006/main" ref="C3:CT43" displayName="Table_2" name="Table_2" id="2">
  <tableColumns count="96">
    <tableColumn name="Classification" id="1"/>
    <tableColumn name="16s rRNA" id="2"/>
    <tableColumn name="Similarity" id="3"/>
    <tableColumn name="Accession Number" id="4"/>
    <tableColumn name="Primer" id="5"/>
    <tableColumn name="Pathogenecity" id="6"/>
    <tableColumn name="Shape" id="7"/>
    <tableColumn name="Cell Size" id="8"/>
    <tableColumn name="Colony Size" id="9"/>
    <tableColumn name="Pigmentation" id="10"/>
    <tableColumn name="Form" id="11"/>
    <tableColumn name="Elevation" id="12"/>
    <tableColumn name="Margin" id="13"/>
    <tableColumn name="Colony Surface" id="14"/>
    <tableColumn name="Opacity" id="15"/>
    <tableColumn name="Texture" id="16"/>
    <tableColumn name="Spore Formation" id="17"/>
    <tableColumn name="Mycelium Formation" id="18"/>
    <tableColumn name="Description" id="19"/>
    <tableColumn name="Gram's Stain" id="20"/>
    <tableColumn name="Spore Stain" id="21"/>
    <tableColumn name="Motility" id="22"/>
    <tableColumn name="Catalase" id="23"/>
    <tableColumn name="Oxidase" id="24"/>
    <tableColumn name="Hemolysis" id="25"/>
    <tableColumn name="Sulfide Production" id="26"/>
    <tableColumn name="Indole Test" id="27"/>
    <tableColumn name="Growth Media" id="28"/>
    <tableColumn name="Optimal pH" id="29"/>
    <tableColumn name="Optimal Temperature" id="30"/>
    <tableColumn name="Optimal Salinity" id="31"/>
    <tableColumn name="Optimal Growth Rate" id="32"/>
    <tableColumn name="Assigned Identity" id="33"/>
    <tableColumn name="API Type" id="34"/>
    <tableColumn name="2KG 2-Ketogluconate" id="35"/>
    <tableColumn name="5KG 5-Ketogluconate" id="36"/>
    <tableColumn name="ADH Arginine DiHydrolase" id="37"/>
    <tableColumn name="ADO D-Adonitol" id="38"/>
    <tableColumn name="AMD Starch" id="39"/>
    <tableColumn name="AMY Amygdaline" id="40"/>
    <tableColumn name="ARA L-arabinose " id="41"/>
    <tableColumn name="ARB Arbutine" id="42"/>
    <tableColumn name="CEL D-Celobiose" id="43"/>
    <tableColumn name="CIT Citrate Utilization" id="44"/>
    <tableColumn name="DARA D-Arabinose" id="45"/>
    <tableColumn name="DARL D-Arabitol" id="46"/>
    <tableColumn name="DFUC D-Fucose" id="47"/>
    <tableColumn name="DUL Dulcitol" id="48"/>
    <tableColumn name="DXYL D-Xylose" id="49"/>
    <tableColumn name="ERY Erytrol" id="50"/>
    <tableColumn name="ESC Esculin" id="51"/>
    <tableColumn name="FRU Fructose" id="52"/>
    <tableColumn name="GAL Galactose" id="53"/>
    <tableColumn name="GEL Gelatinase" id="54"/>
    <tableColumn name="GEN Gentiobiose" id="55"/>
    <tableColumn name="GLU Glucose" id="56"/>
    <tableColumn name="GLY Glycerol" id="57"/>
    <tableColumn name="GLYG Glycogen" id="58"/>
    <tableColumn name="GNT Potasium gluconate" id="59"/>
    <tableColumn name="H2S production" id="60"/>
    <tableColumn name="IND Indole production" id="61"/>
    <tableColumn name="INO Inozitol" id="62"/>
    <tableColumn name="INU Inuline" id="63"/>
    <tableColumn name="LAC D-Lactose" id="64"/>
    <tableColumn name="LARA L-Arabinose" id="65"/>
    <tableColumn name="LARL L-Arabitol" id="66"/>
    <tableColumn name="LDC Lysine DeCarboxylase" id="67"/>
    <tableColumn name="LFUC L-Fucose" id="68"/>
    <tableColumn name="LXYL L-Xylose" id="69"/>
    <tableColumn name="LYX D-Lyxose" id="70"/>
    <tableColumn name="MAL D-Maltose" id="71"/>
    <tableColumn name="MAN Manitol" id="72"/>
    <tableColumn name="MDG Metil-a-D-Glucopyranoside" id="73"/>
    <tableColumn name="MDM Metil-a-D-Manopyranoside" id="74"/>
    <tableColumn name="MDX Metil-β-D-Xylopyranoside" id="75"/>
    <tableColumn name="MEL D-Melibiose" id="76"/>
    <tableColumn name="MLZ D-Melezitose" id="77"/>
    <tableColumn name="MNE Manose" id="78"/>
    <tableColumn name="NAG N-Acetyl-glucosamine Amygdaline" id="79"/>
    <tableColumn name="NO2 production" id="80"/>
    <tableColumn name="ODC Ornithine DeCarboxylase" id="81"/>
    <tableColumn name="ONPG ß-galactosidase (Ortho NitroPhenyl-ßD Galactopyranosidase)" id="82"/>
    <tableColumn name="RAF D-Rafinose" id="83"/>
    <tableColumn name="RHA Rhamnose" id="84"/>
    <tableColumn name="RIB Ribose" id="85"/>
    <tableColumn name="SAC D-Sucrose" id="86"/>
    <tableColumn name="SAL Salicin" id="87"/>
    <tableColumn name="SBE Sorbose" id="88"/>
    <tableColumn name="SOR Sorbitol" id="89"/>
    <tableColumn name="TAG D-Tagatose" id="90"/>
    <tableColumn name="TDA Tryptophane DeAminase" id="91"/>
    <tableColumn name="TRE D-Trehalose" id="92"/>
    <tableColumn name="TUR D-Turanose" id="93"/>
    <tableColumn name="URE UREase" id="94"/>
    <tableColumn name="VP Acetoin production (Voges Proskauer)" id="95"/>
    <tableColumn name="XLT Xylitol" id="96"/>
  </tableColumns>
  <tableStyleInfo name="Microbial Info-style 2" showColumnStripes="0" showFirstColumn="1" showLastColumn="1" showRowStripes="1"/>
</table>
</file>

<file path=xl/tables/table3.xml><?xml version="1.0" encoding="utf-8"?>
<table xmlns="http://schemas.openxmlformats.org/spreadsheetml/2006/main" ref="A2:H42" displayName="Table_3" name="Table_3" id="3">
  <tableColumns count="8">
    <tableColumn name="Code" id="1"/>
    <tableColumn name="Culture Collection Fund Source" id="2"/>
    <tableColumn name="Locale" id="3"/>
    <tableColumn name="Source" id="4"/>
    <tableColumn name="Growth Media" id="5"/>
    <tableColumn name="Special Requirement/s" id="6"/>
    <tableColumn name="Stock Culture Type" id="7"/>
    <tableColumn name="Stock Medium" id="8"/>
  </tableColumns>
  <tableStyleInfo name="Resources-style" showColumnStripes="0" showFirstColumn="1" showLastColumn="1" showRowStripes="1"/>
</table>
</file>

<file path=xl/tables/table4.xml><?xml version="1.0" encoding="utf-8"?>
<table xmlns="http://schemas.openxmlformats.org/spreadsheetml/2006/main" ref="A3:M43" displayName="Table_4" name="Table_4" id="4">
  <tableColumns count="13">
    <tableColumn name="Code" id="1"/>
    <tableColumn name="Bioactivity" id="2"/>
    <tableColumn name="Assay/Protocol Used" id="3"/>
    <tableColumn name="Test Microorganism (1)" id="4"/>
    <tableColumn name="Result (1)" id="5"/>
    <tableColumn name="Test Microorganism (2)" id="6"/>
    <tableColumn name="Result (2)" id="7"/>
    <tableColumn name="Test Microorganism (3)" id="8"/>
    <tableColumn name="Result (3)" id="9"/>
    <tableColumn name="Test Microorganism (4)" id="10"/>
    <tableColumn name="Result (4)" id="11"/>
    <tableColumn name="Test Microorganism (5)" id="12"/>
    <tableColumn name="Result (5)" id="13"/>
  </tableColumns>
  <tableStyleInfo name="Bioactivit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20102188@usc.edu.ph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6.71"/>
    <col customWidth="1" min="3" max="3" width="11.0"/>
    <col customWidth="1" min="4" max="4" width="12.71"/>
    <col customWidth="1" min="5" max="5" width="11.86"/>
    <col customWidth="1" min="6" max="6" width="10.86"/>
    <col customWidth="1" min="7" max="7" width="8.86"/>
    <col customWidth="1" min="8" max="8" width="9.0"/>
    <col customWidth="1" min="9" max="9" width="10.86"/>
    <col customWidth="1" min="10" max="10" width="4.71"/>
    <col customWidth="1" min="11" max="12" width="8.86"/>
    <col customWidth="1" min="13" max="13" width="13.0"/>
    <col customWidth="1" min="14" max="17" width="8.86"/>
    <col customWidth="1" min="18" max="26" width="8.71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/>
      <c r="B5" s="4" t="s">
        <v>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/>
      <c r="B6" s="5" t="s">
        <v>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/>
      <c r="B7" s="5" t="s">
        <v>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/>
      <c r="B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6"/>
      <c r="B9" s="7"/>
      <c r="C9" s="7"/>
      <c r="D9" s="7"/>
      <c r="E9" s="7"/>
      <c r="F9" s="7"/>
      <c r="G9" s="7"/>
      <c r="H9" s="7"/>
      <c r="I9" s="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9"/>
      <c r="B10" s="8"/>
      <c r="C10" s="10" t="str">
        <f t="array" ref="C10">INDEX('Microbial Info'!$D$4:$D$43, MATCH('ID Search'!D12, 'Microbial Info'!A4:A42, 0))</f>
        <v>Bacillus cereus strain DZ102</v>
      </c>
      <c r="D10" s="10"/>
      <c r="E10" s="10"/>
      <c r="F10" s="10"/>
      <c r="G10" s="11"/>
      <c r="H10" s="11"/>
      <c r="I10" s="1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9.75" customHeight="1">
      <c r="A11" s="9"/>
      <c r="B11" s="8"/>
      <c r="C11" s="12" t="s">
        <v>3</v>
      </c>
      <c r="D11" s="13"/>
      <c r="E11" s="13"/>
      <c r="F11" s="13"/>
      <c r="G11" s="13"/>
      <c r="H11" s="13"/>
      <c r="I11" s="13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9"/>
      <c r="B12" s="8"/>
      <c r="C12" s="14" t="s">
        <v>4</v>
      </c>
      <c r="D12" s="15" t="s">
        <v>5</v>
      </c>
      <c r="E12" s="16"/>
      <c r="F12" s="17"/>
      <c r="G12" s="17" t="s">
        <v>6</v>
      </c>
      <c r="H12" s="16" t="str">
        <f t="array" ref="H12">INDEX('Microbial Info'!$C$4:$C$43, MATCH(D12,'Microbial Info'!A4:A42,0))</f>
        <v>Bacteria</v>
      </c>
      <c r="I12" s="1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9"/>
      <c r="B13" s="8"/>
      <c r="C13" s="19" t="s">
        <v>7</v>
      </c>
      <c r="D13" s="20" t="str">
        <f t="array" ref="D13">INDEX(Resources!$C$3:$C$42, MATCH('ID Search'!D12,Resources!$A$3:$A$42,0))</f>
        <v>Bantayan Island, Cebu</v>
      </c>
      <c r="E13" s="20"/>
      <c r="F13" s="21"/>
      <c r="G13" s="21" t="s">
        <v>8</v>
      </c>
      <c r="H13" s="22" t="str">
        <f t="array" ref="H13">INDEX(Resources!$B$3:$B$42, MATCH(D12,Resources!$A$3:$A$42,0))</f>
        <v>NRCP Sediment Project</v>
      </c>
      <c r="I13" s="23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9"/>
      <c r="B14" s="8"/>
      <c r="C14" s="24" t="s">
        <v>9</v>
      </c>
      <c r="D14" s="25" t="str">
        <f t="array" ref="D14">INDEX(Resources!$D$3:$D$42,MATCH('ID Search'!D12,Resources!$A$3:$A$42,0))</f>
        <v>Mangrove Sediment</v>
      </c>
      <c r="E14" s="25"/>
      <c r="F14" s="26"/>
      <c r="G14" s="26" t="s">
        <v>10</v>
      </c>
      <c r="H14" s="27"/>
      <c r="I14" s="2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9"/>
      <c r="B15" s="29"/>
      <c r="C15" s="29"/>
      <c r="D15" s="7"/>
      <c r="E15" s="8"/>
      <c r="F15" s="7"/>
      <c r="G15" s="7"/>
      <c r="H15" s="7"/>
      <c r="I15" s="7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9"/>
      <c r="B16" s="8"/>
      <c r="C16" s="30" t="s">
        <v>11</v>
      </c>
      <c r="D16" s="31"/>
      <c r="E16" s="31"/>
      <c r="F16" s="31"/>
      <c r="G16" s="31"/>
      <c r="H16" s="31"/>
      <c r="I16" s="31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9"/>
      <c r="B17" s="8"/>
      <c r="C17" s="32" t="s">
        <v>12</v>
      </c>
      <c r="D17" s="33"/>
      <c r="E17" s="34"/>
      <c r="F17" s="35" t="s">
        <v>13</v>
      </c>
      <c r="G17" s="36"/>
      <c r="H17" s="36"/>
      <c r="I17" s="3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9"/>
      <c r="B18" s="8"/>
      <c r="C18" s="38" t="s">
        <v>14</v>
      </c>
      <c r="D18" s="39" t="str">
        <f t="array" ref="D18">INDEX('Microbial Info'!$G$4:$G$43, MATCH($D$12,'Microbial Info'!$A$4:$A$43,0))</f>
        <v/>
      </c>
      <c r="E18" s="40"/>
      <c r="F18" s="41" t="s">
        <v>15</v>
      </c>
      <c r="G18" s="22" t="str">
        <f t="array" ref="G18">INDEX('Microbial Info'!$AJ$4:$AJ$43, MATCH($D$12,'Microbial Info'!$A$4:$A$43,0))</f>
        <v/>
      </c>
      <c r="H18" s="42" t="s">
        <v>16</v>
      </c>
      <c r="I18" s="43" t="str">
        <f t="array" ref="I18">INDEX('Microbial Info'!$AV$4:$AV$43, MATCH($D$12,'Microbial Info'!$A$4:$A$43,0))</f>
        <v/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9"/>
      <c r="B19" s="8"/>
      <c r="C19" s="44" t="s">
        <v>17</v>
      </c>
      <c r="D19" s="39" t="str">
        <f t="array" ref="D19">INDEX('Microbial Info'!$F$4:$F$43, MATCH($D$12,'Microbial Info'!$A$4:$A$43,0))</f>
        <v>HM015629</v>
      </c>
      <c r="E19" s="40"/>
      <c r="F19" s="41" t="s">
        <v>18</v>
      </c>
      <c r="G19" s="22" t="str">
        <f t="array" ref="G19">INDEX('Microbial Info'!$AL$4:$AL$43, MATCH($D$12,'Microbial Info'!$A$4:$A$43,0))</f>
        <v/>
      </c>
      <c r="H19" s="42" t="s">
        <v>19</v>
      </c>
      <c r="I19" s="43" t="str">
        <f t="array" ref="I19">INDEX('Microbial Info'!$AW$4:$AW$43, MATCH($D$12,'Microbial Info'!$A$4:$A$43,0))</f>
        <v/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9"/>
      <c r="B20" s="8"/>
      <c r="C20" s="45" t="s">
        <v>20</v>
      </c>
      <c r="D20" s="46">
        <f t="array" ref="D20">INDEX('Microbial Info'!E4:E43, MATCH($D$12,'Microbial Info'!A4:A42,0))</f>
        <v>0.9516</v>
      </c>
      <c r="E20" s="47"/>
      <c r="F20" s="41" t="s">
        <v>21</v>
      </c>
      <c r="G20" s="22" t="str">
        <f t="array" ref="G20">INDEX('Microbial Info'!$AM$4:$AM$43, MATCH($D$12,'Microbial Info'!$A$4:$A$43,0))</f>
        <v/>
      </c>
      <c r="H20" s="42" t="s">
        <v>22</v>
      </c>
      <c r="I20" s="43" t="str">
        <f t="array" ref="I20">INDEX('Microbial Info'!$AX$4:$AX$43, MATCH($D$12,'Microbial Info'!$A$4:$A$43,0))</f>
        <v/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9"/>
      <c r="B21" s="22"/>
      <c r="C21" s="48" t="s">
        <v>23</v>
      </c>
      <c r="D21" s="49"/>
      <c r="E21" s="50"/>
      <c r="F21" s="41" t="s">
        <v>24</v>
      </c>
      <c r="G21" s="22" t="str">
        <f t="array" ref="G21">INDEX('Microbial Info'!$AN$4:$AN$43, MATCH($D$12,'Microbial Info'!$A$4:$A$43,0))</f>
        <v/>
      </c>
      <c r="H21" s="51" t="s">
        <v>25</v>
      </c>
      <c r="I21" s="43" t="str">
        <f t="array" ref="I21">INDEX('Microbial Info'!$AY$4:$AY$43, MATCH($D$12,'Microbial Info'!$A$4:$A$43,0))</f>
        <v/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9"/>
      <c r="B22" s="7"/>
      <c r="C22" s="52" t="s">
        <v>26</v>
      </c>
      <c r="D22" s="22" t="str">
        <f t="array" ref="D22">INDEX('Microbial Info'!$Y$4:$Y$43, MATCH($D$12,'Microbial Info'!$A$4:$A$43,0))</f>
        <v>Positive</v>
      </c>
      <c r="E22" s="53"/>
      <c r="F22" s="41" t="s">
        <v>27</v>
      </c>
      <c r="G22" s="22" t="str">
        <f t="array" ref="G22">INDEX('Microbial Info'!$AO$4:$AO$43, MATCH($D$12,'Microbial Info'!$A$4:$A$43,0))</f>
        <v/>
      </c>
      <c r="H22" s="42" t="s">
        <v>28</v>
      </c>
      <c r="I22" s="43" t="str">
        <f t="array" ref="I22">INDEX('Microbial Info'!$AZ$4:$AZ$43, MATCH($D$12,'Microbial Info'!$A$4:$A$43,0))</f>
        <v/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9"/>
      <c r="B23" s="8"/>
      <c r="C23" s="52" t="s">
        <v>29</v>
      </c>
      <c r="D23" s="22" t="str">
        <f t="array" ref="D23">INDEX('Microbial Info'!$AA$4:$AA$43,MATCH($D$12,'Microbial Info'!A4:A43,0))</f>
        <v>Beta-hemolysis</v>
      </c>
      <c r="E23" s="53"/>
      <c r="F23" s="41" t="s">
        <v>30</v>
      </c>
      <c r="G23" s="22" t="str">
        <f t="array" ref="G23">INDEX('Microbial Info'!$AP$4:$AP$43, MATCH($D$12,'Microbial Info'!$A$4:$A$43,0))</f>
        <v/>
      </c>
      <c r="H23" s="42" t="s">
        <v>31</v>
      </c>
      <c r="I23" s="43" t="str">
        <f t="array" ref="I23">INDEX('Microbial Info'!$AZ$4:$AZ$43, MATCH($D$12,'Microbial Info'!$A$4:$A$43,0))</f>
        <v/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9"/>
      <c r="B24" s="8"/>
      <c r="C24" s="54" t="s">
        <v>32</v>
      </c>
      <c r="D24" s="22" t="str">
        <f t="array" ref="D24">INDEX('Microbial Info'!$Z$4:$Z$43, MATCH($D$12,'Microbial Info'!$A$4:$A$43,0))</f>
        <v>Negative</v>
      </c>
      <c r="E24" s="53"/>
      <c r="F24" s="41" t="s">
        <v>33</v>
      </c>
      <c r="G24" s="22" t="str">
        <f t="array" ref="G24">INDEX('Microbial Info'!$AQ$4:$AQ$43, MATCH($D$12,'Microbial Info'!$A$4:$A$43,0))</f>
        <v/>
      </c>
      <c r="H24" s="42" t="s">
        <v>34</v>
      </c>
      <c r="I24" s="43" t="str">
        <f t="array" ref="I24">INDEX('Microbial Info'!$BB$4:$BB$43, MATCH($D$12,'Microbial Info'!$A$4:$A$43,0))</f>
        <v/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9"/>
      <c r="B25" s="8"/>
      <c r="C25" s="55"/>
      <c r="D25" s="56"/>
      <c r="E25" s="57"/>
      <c r="F25" s="41" t="s">
        <v>35</v>
      </c>
      <c r="G25" s="22" t="str">
        <f t="array" ref="G25">INDEX('Microbial Info'!$AR$4:$AR$43, MATCH($D$12,'Microbial Info'!$A$4:$A$43,0))</f>
        <v/>
      </c>
      <c r="H25" s="42" t="s">
        <v>36</v>
      </c>
      <c r="I25" s="43" t="str">
        <f t="array" ref="I25">INDEX('Microbial Info'!$BC$4:$BC$43, MATCH($D$12,'Microbial Info'!$A$4:$A$43,0))</f>
        <v/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9"/>
      <c r="B26" s="8"/>
      <c r="C26" s="52"/>
      <c r="D26" s="56"/>
      <c r="E26" s="58"/>
      <c r="F26" s="41" t="s">
        <v>37</v>
      </c>
      <c r="G26" s="22" t="str">
        <f t="array" ref="G26">INDEX('Microbial Info'!$AS$4:$AS$43, MATCH($D$12,'Microbial Info'!$A$4:$A$43,0))</f>
        <v/>
      </c>
      <c r="H26" s="42" t="s">
        <v>38</v>
      </c>
      <c r="I26" s="43" t="str">
        <f t="array" ref="I26">INDEX('Microbial Info'!$BD$4:$BD$43, MATCH($D$12,'Microbial Info'!$A$4:$A$43,0))</f>
        <v/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9"/>
      <c r="B27" s="8"/>
      <c r="C27" s="55"/>
      <c r="D27" s="56"/>
      <c r="E27" s="59"/>
      <c r="F27" s="41" t="s">
        <v>39</v>
      </c>
      <c r="G27" s="22" t="str">
        <f t="array" ref="G27">INDEX('Microbial Info'!$AT$4:$AT$43, MATCH($D$12,'Microbial Info'!$A$4:$A$43,0))</f>
        <v/>
      </c>
      <c r="H27" s="42" t="s">
        <v>40</v>
      </c>
      <c r="I27" s="43" t="str">
        <f t="array" ref="I27">INDEX('Microbial Info'!$BE$4:$BE$43, MATCH($D$12,'Microbial Info'!$A$4:$A$43,0))</f>
        <v/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9"/>
      <c r="B28" s="8"/>
      <c r="C28" s="60"/>
      <c r="D28" s="61"/>
      <c r="E28" s="62"/>
      <c r="F28" s="63" t="s">
        <v>41</v>
      </c>
      <c r="G28" s="64" t="str">
        <f t="array" ref="G28">INDEX('Microbial Info'!$AU$4:$AU$43, MATCH($D$12,'Microbial Info'!$A$4:$A$43,0))</f>
        <v/>
      </c>
      <c r="H28" s="65" t="s">
        <v>42</v>
      </c>
      <c r="I28" s="66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9"/>
      <c r="B29" s="8"/>
      <c r="C29" s="35" t="s">
        <v>43</v>
      </c>
      <c r="D29" s="36"/>
      <c r="E29" s="36"/>
      <c r="F29" s="36"/>
      <c r="G29" s="36"/>
      <c r="H29" s="36"/>
      <c r="I29" s="37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9"/>
      <c r="B30" s="7"/>
      <c r="C30" s="67" t="str">
        <f t="array" ref="C30">INDEX('Microbial Info'!U4:U43, MATCH('ID Search'!D12,'Microbial Info'!A4:A42,0))</f>
        <v>Colonies of Bacillus cereus strain DZ102 grown on LB Agar for 24-48 h are approximately  in diameter. Cell shape is rod and is gram-positive. Pigmentation is white and are opaque. Colonies are mucoid and are circular in form with entire margin. They have convex elevation. When manipulated with a needle, the colonies are butyrous.</v>
      </c>
      <c r="I30" s="40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9"/>
      <c r="B31" s="7"/>
      <c r="C31" s="68"/>
      <c r="I31" s="40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1.75" customHeight="1">
      <c r="A32" s="9"/>
      <c r="B32" s="7"/>
      <c r="C32" s="69"/>
      <c r="D32" s="13"/>
      <c r="E32" s="13"/>
      <c r="F32" s="13"/>
      <c r="G32" s="13"/>
      <c r="H32" s="13"/>
      <c r="I32" s="47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ht="14.25" customHeight="1">
      <c r="A33" s="71"/>
      <c r="B33" s="72"/>
      <c r="C33" s="72"/>
      <c r="D33" s="72"/>
      <c r="E33" s="8"/>
      <c r="F33" s="8"/>
      <c r="G33" s="8"/>
      <c r="H33" s="8"/>
      <c r="I33" s="72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9"/>
      <c r="B34" s="7"/>
      <c r="C34" s="73" t="s">
        <v>44</v>
      </c>
      <c r="D34" s="74"/>
      <c r="E34" s="75"/>
      <c r="F34" s="75"/>
      <c r="G34" s="75"/>
      <c r="H34" s="75"/>
      <c r="I34" s="74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9"/>
      <c r="B35" s="7"/>
      <c r="C35" s="76" t="s">
        <v>45</v>
      </c>
      <c r="D35" s="77" t="str">
        <f t="array" ref="D35">INDEX(Resources!E3:E42, MATCH($D$12,'Microbial Info'!A4:A42,0))</f>
        <v/>
      </c>
      <c r="E35" s="78"/>
      <c r="F35" s="78"/>
      <c r="G35" s="78"/>
      <c r="H35" s="78"/>
      <c r="I35" s="79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9"/>
      <c r="B36" s="7"/>
      <c r="C36" s="41" t="s">
        <v>46</v>
      </c>
      <c r="D36" s="80"/>
      <c r="I36" s="40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9"/>
      <c r="B37" s="7"/>
      <c r="C37" s="63" t="s">
        <v>47</v>
      </c>
      <c r="D37" s="81" t="str">
        <f t="array" ref="D37">INDEX('Microbial Info'!H4:H43, MATCH($D$12,'Microbial Info'!A4:A42,0))</f>
        <v/>
      </c>
      <c r="E37" s="13"/>
      <c r="F37" s="13"/>
      <c r="G37" s="13"/>
      <c r="H37" s="13"/>
      <c r="I37" s="47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9"/>
      <c r="B38" s="7"/>
      <c r="C38" s="82" t="s">
        <v>48</v>
      </c>
      <c r="D38" s="83"/>
      <c r="E38" s="84"/>
      <c r="F38" s="84"/>
      <c r="G38" s="85"/>
      <c r="H38" s="85"/>
      <c r="I38" s="86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6"/>
      <c r="B39" s="7"/>
      <c r="C39" s="44" t="s">
        <v>49</v>
      </c>
      <c r="D39" s="87" t="s">
        <v>50</v>
      </c>
      <c r="E39" s="87" t="s">
        <v>51</v>
      </c>
      <c r="F39" s="87" t="s">
        <v>52</v>
      </c>
      <c r="G39" s="8"/>
      <c r="H39" s="8"/>
      <c r="I39" s="8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6"/>
      <c r="B40" s="7"/>
      <c r="C40" s="89"/>
      <c r="D40" s="7"/>
      <c r="E40" s="7"/>
      <c r="F40" s="7"/>
      <c r="G40" s="8"/>
      <c r="H40" s="8"/>
      <c r="I40" s="8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6"/>
      <c r="B41" s="7"/>
      <c r="C41" s="89"/>
      <c r="D41" s="7"/>
      <c r="E41" s="72"/>
      <c r="F41" s="72"/>
      <c r="G41" s="70"/>
      <c r="H41" s="8"/>
      <c r="I41" s="8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6"/>
      <c r="B42" s="7"/>
      <c r="C42" s="89"/>
      <c r="D42" s="7"/>
      <c r="E42" s="7"/>
      <c r="F42" s="7"/>
      <c r="G42" s="8"/>
      <c r="H42" s="8"/>
      <c r="I42" s="8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6"/>
      <c r="B43" s="7"/>
      <c r="C43" s="89"/>
      <c r="D43" s="7"/>
      <c r="E43" s="7"/>
      <c r="F43" s="7"/>
      <c r="G43" s="8"/>
      <c r="H43" s="8"/>
      <c r="I43" s="8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6"/>
      <c r="B44" s="7"/>
      <c r="C44" s="89"/>
      <c r="D44" s="7"/>
      <c r="E44" s="7"/>
      <c r="F44" s="7"/>
      <c r="G44" s="8"/>
      <c r="H44" s="8"/>
      <c r="I44" s="8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6"/>
      <c r="B45" s="7"/>
      <c r="C45" s="89"/>
      <c r="D45" s="7"/>
      <c r="E45" s="7"/>
      <c r="F45" s="7"/>
      <c r="G45" s="8"/>
      <c r="H45" s="8"/>
      <c r="I45" s="8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6"/>
      <c r="B46" s="7"/>
      <c r="C46" s="90"/>
      <c r="D46" s="91"/>
      <c r="E46" s="91"/>
      <c r="F46" s="91"/>
      <c r="G46" s="92"/>
      <c r="H46" s="92"/>
      <c r="I46" s="9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6"/>
      <c r="B47" s="7"/>
      <c r="C47" s="7"/>
      <c r="D47" s="7"/>
      <c r="E47" s="7"/>
      <c r="F47" s="7"/>
      <c r="G47" s="7"/>
      <c r="H47" s="7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6"/>
      <c r="B48" s="7"/>
      <c r="C48" s="7"/>
      <c r="D48" s="7"/>
      <c r="E48" s="7"/>
      <c r="F48" s="7"/>
      <c r="G48" s="7"/>
      <c r="H48" s="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3"/>
      <c r="B49" s="2"/>
      <c r="C49" s="2"/>
      <c r="D49" s="2"/>
      <c r="E49" s="2"/>
      <c r="F49" s="2"/>
      <c r="G49" s="2"/>
      <c r="H49" s="2"/>
      <c r="I49" s="2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1"/>
      <c r="B50" s="2"/>
      <c r="C50" s="2"/>
      <c r="D50" s="2"/>
      <c r="E50" s="2"/>
      <c r="F50" s="2"/>
      <c r="G50" s="2"/>
      <c r="H50" s="2"/>
      <c r="I50" s="2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1"/>
      <c r="B51" s="2"/>
      <c r="C51" s="94" t="s">
        <v>53</v>
      </c>
      <c r="D51" s="95"/>
      <c r="E51" s="95"/>
      <c r="F51" s="95"/>
      <c r="G51" s="95"/>
      <c r="H51" s="95"/>
      <c r="I51" s="95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1"/>
      <c r="B52" s="2"/>
      <c r="C52" s="96" t="s">
        <v>54</v>
      </c>
      <c r="D52" s="96"/>
      <c r="E52" s="97"/>
      <c r="F52" s="98" t="s">
        <v>55</v>
      </c>
      <c r="G52" s="99" t="s">
        <v>56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1"/>
      <c r="B53" s="2"/>
      <c r="C53" s="100">
        <v>1.0</v>
      </c>
      <c r="D53" s="96"/>
      <c r="E53" s="101"/>
      <c r="F53" s="102"/>
      <c r="G53" s="102"/>
      <c r="H53" s="103"/>
      <c r="I53" s="104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"/>
      <c r="B54" s="105"/>
      <c r="C54" s="100">
        <v>2.0</v>
      </c>
      <c r="D54" s="106"/>
      <c r="E54" s="107"/>
      <c r="F54" s="102"/>
      <c r="G54" s="102"/>
      <c r="H54" s="103"/>
      <c r="I54" s="104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3"/>
      <c r="B55" s="108"/>
      <c r="C55" s="100">
        <v>3.0</v>
      </c>
      <c r="D55" s="109"/>
      <c r="E55" s="108"/>
      <c r="F55" s="102"/>
      <c r="G55" s="102"/>
      <c r="H55" s="103"/>
      <c r="I55" s="104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3"/>
      <c r="B56" s="108"/>
      <c r="C56" s="100">
        <v>4.0</v>
      </c>
      <c r="D56" s="109"/>
      <c r="E56" s="108"/>
      <c r="F56" s="102"/>
      <c r="G56" s="102"/>
      <c r="H56" s="103"/>
      <c r="I56" s="104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3"/>
      <c r="B57" s="108"/>
      <c r="C57" s="100">
        <v>5.0</v>
      </c>
      <c r="D57" s="109"/>
      <c r="E57" s="108"/>
      <c r="F57" s="110"/>
      <c r="G57" s="110"/>
      <c r="H57" s="111"/>
      <c r="I57" s="112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6"/>
      <c r="B58" s="8"/>
      <c r="C58" s="100">
        <v>6.0</v>
      </c>
      <c r="D58" s="109"/>
      <c r="E58" s="113"/>
      <c r="F58" s="114"/>
      <c r="G58" s="114"/>
      <c r="H58" s="115"/>
      <c r="I58" s="116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9"/>
      <c r="B59" s="8"/>
      <c r="C59" s="100">
        <v>7.0</v>
      </c>
      <c r="D59" s="109"/>
      <c r="E59" s="113"/>
      <c r="F59" s="117"/>
      <c r="G59" s="117"/>
      <c r="H59" s="113"/>
      <c r="I59" s="2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9"/>
      <c r="B60" s="8"/>
      <c r="C60" s="100">
        <v>8.0</v>
      </c>
      <c r="D60" s="109"/>
      <c r="E60" s="113"/>
      <c r="F60" s="114"/>
      <c r="G60" s="114"/>
      <c r="H60" s="115"/>
      <c r="I60" s="116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9"/>
      <c r="B61" s="8"/>
      <c r="C61" s="100">
        <v>9.0</v>
      </c>
      <c r="D61" s="109"/>
      <c r="E61" s="113"/>
      <c r="F61" s="117"/>
      <c r="G61" s="117"/>
      <c r="H61" s="113"/>
      <c r="I61" s="2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9"/>
      <c r="B62" s="8"/>
      <c r="C62" s="100">
        <v>10.0</v>
      </c>
      <c r="D62" s="109"/>
      <c r="E62" s="113"/>
      <c r="F62" s="114"/>
      <c r="G62" s="114"/>
      <c r="H62" s="115"/>
      <c r="I62" s="116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9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9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9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9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9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9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9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9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9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9"/>
      <c r="B72" s="8"/>
      <c r="C72" s="8"/>
      <c r="D72" s="8"/>
      <c r="E72" s="8"/>
      <c r="F72" s="8"/>
      <c r="G72" s="8"/>
      <c r="H72" s="8"/>
      <c r="I72" s="8"/>
      <c r="J72" s="2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9"/>
      <c r="B73" s="8"/>
      <c r="C73" s="8"/>
      <c r="D73" s="8"/>
      <c r="E73" s="8"/>
      <c r="F73" s="8"/>
      <c r="G73" s="8"/>
      <c r="H73" s="8"/>
      <c r="I73" s="8"/>
      <c r="J73" s="2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9"/>
      <c r="B74" s="8"/>
      <c r="C74" s="8"/>
      <c r="D74" s="8"/>
      <c r="E74" s="8"/>
      <c r="F74" s="8"/>
      <c r="G74" s="8"/>
      <c r="H74" s="8"/>
      <c r="I74" s="8"/>
      <c r="J74" s="2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9"/>
      <c r="B75" s="8"/>
      <c r="C75" s="8"/>
      <c r="D75" s="8"/>
      <c r="E75" s="8"/>
      <c r="F75" s="8"/>
      <c r="G75" s="8"/>
      <c r="H75" s="8"/>
      <c r="I75" s="8"/>
      <c r="J75" s="2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9"/>
      <c r="B76" s="8"/>
      <c r="C76" s="8"/>
      <c r="D76" s="8"/>
      <c r="E76" s="8"/>
      <c r="F76" s="8"/>
      <c r="G76" s="8"/>
      <c r="H76" s="8"/>
      <c r="I76" s="8"/>
      <c r="J76" s="2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9"/>
      <c r="B77" s="8"/>
      <c r="C77" s="8"/>
      <c r="D77" s="8"/>
      <c r="E77" s="8"/>
      <c r="F77" s="8"/>
      <c r="G77" s="8"/>
      <c r="H77" s="8"/>
      <c r="I77" s="8"/>
      <c r="J77" s="2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9"/>
      <c r="B78" s="8"/>
      <c r="C78" s="8"/>
      <c r="D78" s="8"/>
      <c r="E78" s="8"/>
      <c r="F78" s="8"/>
      <c r="G78" s="8"/>
      <c r="H78" s="8"/>
      <c r="I78" s="8"/>
      <c r="J78" s="2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9"/>
      <c r="B79" s="8"/>
      <c r="C79" s="8"/>
      <c r="D79" s="8"/>
      <c r="E79" s="8"/>
      <c r="F79" s="8"/>
      <c r="G79" s="8"/>
      <c r="H79" s="8"/>
      <c r="I79" s="8"/>
      <c r="J79" s="2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9"/>
      <c r="B80" s="8"/>
      <c r="C80" s="8"/>
      <c r="D80" s="8"/>
      <c r="E80" s="8"/>
      <c r="F80" s="8"/>
      <c r="G80" s="8"/>
      <c r="H80" s="8"/>
      <c r="I80" s="8"/>
      <c r="J80" s="2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9"/>
      <c r="B81" s="70"/>
      <c r="C81" s="70"/>
      <c r="D81" s="70"/>
      <c r="E81" s="70"/>
      <c r="F81" s="70"/>
      <c r="G81" s="70"/>
      <c r="H81" s="70"/>
      <c r="I81" s="70"/>
      <c r="J81" s="2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71"/>
      <c r="B82" s="8"/>
      <c r="C82" s="8"/>
      <c r="D82" s="8"/>
      <c r="E82" s="8"/>
      <c r="F82" s="8"/>
      <c r="G82" s="8"/>
      <c r="H82" s="8"/>
      <c r="I82" s="8"/>
      <c r="J82" s="2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9"/>
      <c r="B83" s="8"/>
      <c r="C83" s="8"/>
      <c r="D83" s="8"/>
      <c r="E83" s="8"/>
      <c r="F83" s="8"/>
      <c r="G83" s="8"/>
      <c r="H83" s="8"/>
      <c r="I83" s="8"/>
      <c r="J83" s="2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9"/>
      <c r="B84" s="8"/>
      <c r="C84" s="8"/>
      <c r="D84" s="8"/>
      <c r="E84" s="8"/>
      <c r="F84" s="8"/>
      <c r="G84" s="8"/>
      <c r="H84" s="8"/>
      <c r="I84" s="8"/>
      <c r="J84" s="2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9"/>
      <c r="B85" s="8"/>
      <c r="C85" s="8"/>
      <c r="D85" s="8"/>
      <c r="E85" s="8"/>
      <c r="F85" s="8"/>
      <c r="G85" s="8"/>
      <c r="H85" s="8"/>
      <c r="I85" s="8"/>
      <c r="J85" s="2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9"/>
      <c r="B86" s="8"/>
      <c r="C86" s="8"/>
      <c r="D86" s="8"/>
      <c r="E86" s="8"/>
      <c r="F86" s="8"/>
      <c r="G86" s="8"/>
      <c r="H86" s="8"/>
      <c r="I86" s="8"/>
      <c r="J86" s="2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9"/>
      <c r="B87" s="8"/>
      <c r="C87" s="8"/>
      <c r="D87" s="8"/>
      <c r="E87" s="8"/>
      <c r="F87" s="8"/>
      <c r="G87" s="8"/>
      <c r="H87" s="8"/>
      <c r="I87" s="8"/>
      <c r="J87" s="2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6"/>
      <c r="B88" s="8"/>
      <c r="C88" s="8"/>
      <c r="D88" s="8"/>
      <c r="E88" s="8"/>
      <c r="F88" s="8"/>
      <c r="G88" s="8"/>
      <c r="H88" s="8"/>
      <c r="I88" s="8"/>
      <c r="J88" s="2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6"/>
      <c r="B89" s="8"/>
      <c r="C89" s="8"/>
      <c r="D89" s="8"/>
      <c r="E89" s="8"/>
      <c r="F89" s="8"/>
      <c r="G89" s="8"/>
      <c r="H89" s="8"/>
      <c r="I89" s="8"/>
      <c r="J89" s="2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6"/>
      <c r="B90" s="8"/>
      <c r="C90" s="8"/>
      <c r="D90" s="8"/>
      <c r="E90" s="8"/>
      <c r="F90" s="8"/>
      <c r="G90" s="8"/>
      <c r="H90" s="8"/>
      <c r="I90" s="8"/>
      <c r="J90" s="2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6"/>
      <c r="B91" s="8"/>
      <c r="C91" s="8"/>
      <c r="D91" s="8"/>
      <c r="E91" s="8"/>
      <c r="F91" s="8"/>
      <c r="G91" s="8"/>
      <c r="H91" s="8"/>
      <c r="I91" s="8"/>
      <c r="J91" s="2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6"/>
      <c r="B92" s="8"/>
      <c r="C92" s="8"/>
      <c r="D92" s="8"/>
      <c r="E92" s="8"/>
      <c r="F92" s="8"/>
      <c r="G92" s="8"/>
      <c r="H92" s="8"/>
      <c r="I92" s="8"/>
      <c r="J92" s="2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6"/>
      <c r="B93" s="8"/>
      <c r="C93" s="8"/>
      <c r="D93" s="8"/>
      <c r="E93" s="8"/>
      <c r="F93" s="8"/>
      <c r="G93" s="8"/>
      <c r="H93" s="8"/>
      <c r="I93" s="8"/>
      <c r="J93" s="2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6"/>
      <c r="B94" s="8"/>
      <c r="C94" s="8"/>
      <c r="D94" s="8"/>
      <c r="E94" s="8"/>
      <c r="F94" s="8"/>
      <c r="G94" s="8"/>
      <c r="H94" s="8"/>
      <c r="I94" s="8"/>
      <c r="J94" s="2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6"/>
      <c r="B95" s="8"/>
      <c r="C95" s="8"/>
      <c r="D95" s="8"/>
      <c r="E95" s="8"/>
      <c r="F95" s="8"/>
      <c r="G95" s="8"/>
      <c r="H95" s="8"/>
      <c r="I95" s="8"/>
      <c r="J95" s="2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6"/>
      <c r="B96" s="8"/>
      <c r="C96" s="8"/>
      <c r="D96" s="8"/>
      <c r="E96" s="8"/>
      <c r="F96" s="8"/>
      <c r="G96" s="8"/>
      <c r="H96" s="8"/>
      <c r="I96" s="8"/>
      <c r="J96" s="2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118"/>
      <c r="B97" s="2"/>
      <c r="C97" s="2"/>
      <c r="D97" s="2"/>
      <c r="E97" s="2"/>
      <c r="F97" s="2"/>
      <c r="G97" s="2"/>
      <c r="H97" s="2"/>
      <c r="I97" s="8"/>
      <c r="J97" s="2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118"/>
      <c r="B98" s="2"/>
      <c r="C98" s="2"/>
      <c r="D98" s="2"/>
      <c r="E98" s="2"/>
      <c r="F98" s="2"/>
      <c r="G98" s="2"/>
      <c r="H98" s="2"/>
      <c r="I98" s="8"/>
      <c r="J98" s="2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118"/>
      <c r="B99" s="2"/>
      <c r="C99" s="2"/>
      <c r="D99" s="2"/>
      <c r="E99" s="2"/>
      <c r="F99" s="2"/>
      <c r="G99" s="2"/>
      <c r="H99" s="2"/>
      <c r="I99" s="8"/>
      <c r="J99" s="2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8"/>
      <c r="J100" s="2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8"/>
      <c r="J101" s="2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8"/>
      <c r="J102" s="2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8"/>
      <c r="J103" s="2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8"/>
      <c r="J104" s="2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8"/>
      <c r="J105" s="2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8"/>
      <c r="J106" s="2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8"/>
      <c r="J107" s="2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8"/>
      <c r="J108" s="2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8"/>
      <c r="J109" s="2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8"/>
      <c r="J110" s="2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8"/>
      <c r="J111" s="2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8"/>
      <c r="J112" s="2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8"/>
      <c r="J113" s="2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8"/>
      <c r="J114" s="2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8"/>
      <c r="J115" s="2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8"/>
      <c r="J116" s="2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8"/>
      <c r="J117" s="2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8"/>
      <c r="J118" s="2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8"/>
      <c r="J119" s="2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8"/>
      <c r="J120" s="2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8"/>
      <c r="J121" s="2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8"/>
      <c r="J122" s="2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8"/>
      <c r="J123" s="2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8"/>
      <c r="J124" s="2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8"/>
      <c r="J125" s="2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8"/>
      <c r="J126" s="2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8"/>
      <c r="J127" s="2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8"/>
      <c r="J128" s="2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8"/>
      <c r="J129" s="2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8"/>
      <c r="J130" s="2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8"/>
      <c r="J131" s="2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8"/>
      <c r="J132" s="2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8"/>
      <c r="J133" s="2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8"/>
      <c r="J134" s="2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8"/>
      <c r="J135" s="2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8"/>
      <c r="J136" s="2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8"/>
      <c r="J137" s="2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8"/>
      <c r="J138" s="2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8"/>
      <c r="J139" s="2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8"/>
      <c r="J140" s="2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8"/>
      <c r="J141" s="2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8"/>
      <c r="J142" s="2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8"/>
      <c r="J143" s="2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8"/>
      <c r="J144" s="2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8"/>
      <c r="J145" s="2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8"/>
      <c r="J146" s="2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8"/>
      <c r="J147" s="2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8"/>
      <c r="J148" s="2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8"/>
      <c r="J149" s="2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8"/>
      <c r="J150" s="2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8"/>
      <c r="J151" s="2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8"/>
      <c r="J152" s="2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8"/>
      <c r="J153" s="2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8"/>
      <c r="J154" s="2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8"/>
      <c r="J155" s="2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8"/>
      <c r="J156" s="2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8"/>
      <c r="J157" s="2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8"/>
      <c r="J158" s="2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8"/>
      <c r="J159" s="2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8"/>
      <c r="J160" s="2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8"/>
      <c r="J161" s="2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8"/>
      <c r="J162" s="2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8"/>
      <c r="J163" s="2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8"/>
      <c r="J164" s="2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8"/>
      <c r="J165" s="2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8"/>
      <c r="J166" s="2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8"/>
      <c r="J167" s="2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8"/>
      <c r="J168" s="2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8"/>
      <c r="J169" s="2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8"/>
      <c r="J170" s="2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8"/>
      <c r="J171" s="2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8"/>
      <c r="J172" s="2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8"/>
      <c r="J173" s="2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8"/>
      <c r="J174" s="2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8"/>
      <c r="J175" s="2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8"/>
      <c r="J176" s="2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8"/>
      <c r="J177" s="2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8"/>
      <c r="J178" s="2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8"/>
      <c r="J179" s="2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8"/>
      <c r="J180" s="2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8"/>
      <c r="J181" s="2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8"/>
      <c r="J182" s="2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8"/>
      <c r="J183" s="2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8"/>
      <c r="J184" s="2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8"/>
      <c r="J185" s="2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8"/>
      <c r="J186" s="2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8"/>
      <c r="J187" s="2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8"/>
      <c r="J188" s="2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8"/>
      <c r="J189" s="2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8"/>
      <c r="J190" s="2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8"/>
      <c r="J191" s="2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8"/>
      <c r="J192" s="2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8"/>
      <c r="J193" s="2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8"/>
      <c r="J194" s="2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8"/>
      <c r="J195" s="2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8"/>
      <c r="J196" s="2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8"/>
      <c r="J197" s="2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8"/>
      <c r="J198" s="2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8"/>
      <c r="J199" s="2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8"/>
      <c r="J200" s="2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8"/>
      <c r="J201" s="2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8"/>
      <c r="J202" s="2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8"/>
      <c r="J203" s="2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8"/>
      <c r="J204" s="2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8"/>
      <c r="J205" s="2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8"/>
      <c r="J206" s="2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8"/>
      <c r="J207" s="2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8"/>
      <c r="J208" s="2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8"/>
      <c r="J209" s="2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8"/>
      <c r="J210" s="2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8"/>
      <c r="J211" s="2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8"/>
      <c r="J212" s="2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8"/>
      <c r="J213" s="2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8"/>
      <c r="J214" s="2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8"/>
      <c r="J215" s="2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8"/>
      <c r="J216" s="2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8"/>
      <c r="J217" s="2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8"/>
      <c r="J218" s="2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8"/>
      <c r="J219" s="2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8"/>
      <c r="J220" s="2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8"/>
      <c r="J221" s="2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8"/>
      <c r="J222" s="2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8"/>
      <c r="J223" s="2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8"/>
      <c r="J224" s="2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8"/>
      <c r="J225" s="2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8"/>
      <c r="J226" s="2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8"/>
      <c r="J227" s="2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8"/>
      <c r="J228" s="2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8"/>
      <c r="J229" s="2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8"/>
      <c r="J230" s="2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8"/>
      <c r="J231" s="2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8"/>
      <c r="J232" s="2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8"/>
      <c r="J233" s="2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8"/>
      <c r="J234" s="2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8"/>
      <c r="J235" s="2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8"/>
      <c r="J236" s="2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8"/>
      <c r="J237" s="2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8"/>
      <c r="J238" s="2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8"/>
      <c r="J239" s="2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8"/>
      <c r="J240" s="2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8"/>
      <c r="J241" s="2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8"/>
      <c r="J242" s="2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8"/>
      <c r="J243" s="2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8"/>
      <c r="J244" s="2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8"/>
      <c r="J245" s="2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8"/>
      <c r="J246" s="2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8"/>
      <c r="J247" s="2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8"/>
      <c r="J248" s="2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8"/>
      <c r="J249" s="2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8"/>
      <c r="J250" s="2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8"/>
      <c r="J251" s="2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8"/>
      <c r="J252" s="2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8"/>
      <c r="J253" s="2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8"/>
      <c r="J254" s="2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8"/>
      <c r="J255" s="2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8"/>
      <c r="J256" s="2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8"/>
      <c r="J257" s="2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8"/>
      <c r="J258" s="2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8"/>
      <c r="J259" s="2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8"/>
      <c r="J260" s="2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8"/>
      <c r="J261" s="2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8"/>
      <c r="J262" s="2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8"/>
      <c r="J263" s="2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8"/>
      <c r="J264" s="2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8"/>
      <c r="J265" s="2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8"/>
      <c r="J266" s="2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8"/>
      <c r="J267" s="2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8"/>
      <c r="J268" s="2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8"/>
      <c r="J269" s="2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8"/>
      <c r="J270" s="2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8"/>
      <c r="J271" s="2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8"/>
      <c r="J272" s="2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8"/>
      <c r="J273" s="2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8"/>
      <c r="J274" s="2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8"/>
      <c r="J275" s="2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8"/>
      <c r="J276" s="2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8"/>
      <c r="J277" s="2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8"/>
      <c r="J278" s="2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8"/>
      <c r="J279" s="2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8"/>
      <c r="J280" s="2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8"/>
      <c r="J281" s="2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8"/>
      <c r="J282" s="2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8"/>
      <c r="J283" s="2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8"/>
      <c r="J284" s="2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8"/>
      <c r="J285" s="2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8"/>
      <c r="J286" s="2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8"/>
      <c r="J287" s="2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8"/>
      <c r="J288" s="2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8"/>
      <c r="J289" s="2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8"/>
      <c r="J290" s="2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8"/>
      <c r="J291" s="2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8"/>
      <c r="J292" s="2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8"/>
      <c r="J293" s="2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8"/>
      <c r="J294" s="2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8"/>
      <c r="J295" s="2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8"/>
      <c r="J296" s="2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8"/>
      <c r="J297" s="2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8"/>
      <c r="J298" s="2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8"/>
      <c r="J299" s="2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8"/>
      <c r="J300" s="2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8"/>
      <c r="J301" s="2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8"/>
      <c r="J302" s="2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8"/>
      <c r="J303" s="2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8"/>
      <c r="J304" s="2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8"/>
      <c r="J305" s="2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8"/>
      <c r="J306" s="2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8"/>
      <c r="J307" s="2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8"/>
      <c r="J308" s="2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8"/>
      <c r="J309" s="2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8"/>
      <c r="J310" s="2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8"/>
      <c r="J311" s="2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8"/>
      <c r="J312" s="2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8"/>
      <c r="J313" s="2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8"/>
      <c r="J314" s="2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8"/>
      <c r="J315" s="2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8"/>
      <c r="J316" s="2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8"/>
      <c r="J317" s="2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8"/>
      <c r="J318" s="2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8"/>
      <c r="J319" s="2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8"/>
      <c r="J320" s="2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8"/>
      <c r="J321" s="2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8"/>
      <c r="J322" s="2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8"/>
      <c r="J323" s="2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8"/>
      <c r="J324" s="2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8"/>
      <c r="J325" s="2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8"/>
      <c r="J326" s="2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8"/>
      <c r="J327" s="2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8"/>
      <c r="J328" s="2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8"/>
      <c r="J329" s="2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8"/>
      <c r="J330" s="2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8"/>
      <c r="J331" s="2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8"/>
      <c r="J332" s="2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8"/>
      <c r="J333" s="2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8"/>
      <c r="J334" s="2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8"/>
      <c r="J335" s="2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8"/>
      <c r="J336" s="2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8"/>
      <c r="J337" s="2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8"/>
      <c r="J338" s="2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8"/>
      <c r="J339" s="2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8"/>
      <c r="J340" s="2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8"/>
      <c r="J341" s="2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8"/>
      <c r="J342" s="2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8"/>
      <c r="J343" s="2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8"/>
      <c r="J344" s="2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8"/>
      <c r="J345" s="2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8"/>
      <c r="J346" s="2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8"/>
      <c r="J347" s="2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8"/>
      <c r="J348" s="2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8"/>
      <c r="J349" s="2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8"/>
      <c r="J350" s="2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8"/>
      <c r="J351" s="2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8"/>
      <c r="J352" s="2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8"/>
      <c r="J353" s="2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8"/>
      <c r="J354" s="2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8"/>
      <c r="J355" s="2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8"/>
      <c r="J356" s="2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8"/>
      <c r="J357" s="2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8"/>
      <c r="J358" s="2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8"/>
      <c r="J359" s="2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8"/>
      <c r="J360" s="2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8"/>
      <c r="J361" s="2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8"/>
      <c r="J362" s="2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8"/>
      <c r="J363" s="2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8"/>
      <c r="J364" s="2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8"/>
      <c r="J365" s="2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8"/>
      <c r="J366" s="2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8"/>
      <c r="J367" s="2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8"/>
      <c r="J368" s="2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8"/>
      <c r="J369" s="2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8"/>
      <c r="J370" s="2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8"/>
      <c r="J371" s="2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8"/>
      <c r="J372" s="2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8"/>
      <c r="J373" s="2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8"/>
      <c r="J374" s="2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8"/>
      <c r="J375" s="2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8"/>
      <c r="J376" s="2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8"/>
      <c r="J377" s="2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8"/>
      <c r="J378" s="2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8"/>
      <c r="J379" s="2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8"/>
      <c r="J380" s="2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8"/>
      <c r="J381" s="2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8"/>
      <c r="J382" s="2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8"/>
      <c r="J383" s="2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8"/>
      <c r="J384" s="2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8"/>
      <c r="J385" s="2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8"/>
      <c r="J386" s="2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8"/>
      <c r="J387" s="2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8"/>
      <c r="J388" s="2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8"/>
      <c r="J389" s="2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8"/>
      <c r="J390" s="2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8"/>
      <c r="J391" s="2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8"/>
      <c r="J392" s="2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8"/>
      <c r="J393" s="2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8"/>
      <c r="J394" s="2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8"/>
      <c r="J395" s="2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8"/>
      <c r="J396" s="2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8"/>
      <c r="J397" s="2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8"/>
      <c r="J398" s="2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8"/>
      <c r="J399" s="2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8"/>
      <c r="J400" s="2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8"/>
      <c r="J401" s="2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8"/>
      <c r="J402" s="2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8"/>
      <c r="J403" s="2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8"/>
      <c r="J404" s="2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8"/>
      <c r="J405" s="2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8"/>
      <c r="J406" s="2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8"/>
      <c r="J407" s="2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8"/>
      <c r="J408" s="2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8"/>
      <c r="J409" s="2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8"/>
      <c r="J410" s="2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8"/>
      <c r="J411" s="2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8"/>
      <c r="J412" s="2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8"/>
      <c r="J413" s="2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8"/>
      <c r="J414" s="2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8"/>
      <c r="J415" s="2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8"/>
      <c r="J416" s="2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8"/>
      <c r="J417" s="2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8"/>
      <c r="J418" s="2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8"/>
      <c r="J419" s="2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8"/>
      <c r="J420" s="2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8"/>
      <c r="J421" s="2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8"/>
      <c r="J422" s="2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8"/>
      <c r="J423" s="2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8"/>
      <c r="J424" s="2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8"/>
      <c r="J425" s="2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8"/>
      <c r="J426" s="2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8"/>
      <c r="J427" s="2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8"/>
      <c r="J428" s="2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8"/>
      <c r="J429" s="2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8"/>
      <c r="J430" s="2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8"/>
      <c r="J431" s="2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8"/>
      <c r="J432" s="2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8"/>
      <c r="J433" s="2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8"/>
      <c r="J434" s="2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8"/>
      <c r="J435" s="2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8"/>
      <c r="J436" s="2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8"/>
      <c r="J437" s="2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8"/>
      <c r="J438" s="2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8"/>
      <c r="J439" s="2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8"/>
      <c r="J440" s="2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8"/>
      <c r="J441" s="2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8"/>
      <c r="J442" s="2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8"/>
      <c r="J443" s="2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8"/>
      <c r="J444" s="2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8"/>
      <c r="J445" s="2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8"/>
      <c r="J446" s="2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8"/>
      <c r="J447" s="2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8"/>
      <c r="J448" s="2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8"/>
      <c r="J449" s="2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8"/>
      <c r="J450" s="2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8"/>
      <c r="J451" s="2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8"/>
      <c r="J452" s="2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8"/>
      <c r="J453" s="2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8"/>
      <c r="J454" s="2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8"/>
      <c r="J455" s="2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8"/>
      <c r="J456" s="2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8"/>
      <c r="J457" s="2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8"/>
      <c r="J458" s="2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8"/>
      <c r="J459" s="2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8"/>
      <c r="J460" s="2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8"/>
      <c r="J461" s="2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8"/>
      <c r="J462" s="2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8"/>
      <c r="J463" s="2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8"/>
      <c r="J464" s="2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8"/>
      <c r="J465" s="2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8"/>
      <c r="J466" s="2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8"/>
      <c r="J467" s="2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8"/>
      <c r="J468" s="2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8"/>
      <c r="J469" s="2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8"/>
      <c r="J470" s="2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8"/>
      <c r="J471" s="2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8"/>
      <c r="J472" s="2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8"/>
      <c r="J473" s="2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8"/>
      <c r="J474" s="2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8"/>
      <c r="J475" s="2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8"/>
      <c r="J476" s="2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8"/>
      <c r="J477" s="2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8"/>
      <c r="J478" s="2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8"/>
      <c r="J479" s="2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8"/>
      <c r="J480" s="2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8"/>
      <c r="J481" s="2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8"/>
      <c r="J482" s="2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8"/>
      <c r="J483" s="2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8"/>
      <c r="J484" s="2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8"/>
      <c r="J485" s="2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8"/>
      <c r="J486" s="2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8"/>
      <c r="J487" s="2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8"/>
      <c r="J488" s="2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8"/>
      <c r="J489" s="2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8"/>
      <c r="J490" s="2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8"/>
      <c r="J491" s="2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8"/>
      <c r="J492" s="2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8"/>
      <c r="J493" s="2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8"/>
      <c r="J494" s="2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8"/>
      <c r="J495" s="2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8"/>
      <c r="J496" s="2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8"/>
      <c r="J497" s="2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8"/>
      <c r="J498" s="2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8"/>
      <c r="J499" s="2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8"/>
      <c r="J500" s="2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8"/>
      <c r="J501" s="2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8"/>
      <c r="J502" s="2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8"/>
      <c r="J503" s="2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8"/>
      <c r="J504" s="2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8"/>
      <c r="J505" s="2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8"/>
      <c r="J506" s="2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8"/>
      <c r="J507" s="2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8"/>
      <c r="J508" s="2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8"/>
      <c r="J509" s="2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8"/>
      <c r="J510" s="2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8"/>
      <c r="J511" s="2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8"/>
      <c r="J512" s="2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8"/>
      <c r="J513" s="2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8"/>
      <c r="J514" s="2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8"/>
      <c r="J515" s="2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8"/>
      <c r="J516" s="2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8"/>
      <c r="J517" s="2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8"/>
      <c r="J518" s="2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8"/>
      <c r="J519" s="2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8"/>
      <c r="J520" s="2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8"/>
      <c r="J521" s="2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8"/>
      <c r="J522" s="2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8"/>
      <c r="J523" s="2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8"/>
      <c r="J524" s="2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8"/>
      <c r="J525" s="2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8"/>
      <c r="J526" s="2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8"/>
      <c r="J527" s="2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8"/>
      <c r="J528" s="2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8"/>
      <c r="J529" s="2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8"/>
      <c r="J530" s="2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8"/>
      <c r="J531" s="2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8"/>
      <c r="J532" s="2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8"/>
      <c r="J533" s="2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8"/>
      <c r="J534" s="2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8"/>
      <c r="J535" s="2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8"/>
      <c r="J536" s="2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8"/>
      <c r="J537" s="2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8"/>
      <c r="J538" s="2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8"/>
      <c r="J539" s="2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8"/>
      <c r="J540" s="2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8"/>
      <c r="J541" s="2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8"/>
      <c r="J542" s="2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8"/>
      <c r="J543" s="2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8"/>
      <c r="J544" s="2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8"/>
      <c r="J545" s="2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8"/>
      <c r="J546" s="2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8"/>
      <c r="J547" s="2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8"/>
      <c r="J548" s="2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8"/>
      <c r="J549" s="2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8"/>
      <c r="J550" s="2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8"/>
      <c r="J551" s="2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8"/>
      <c r="J552" s="2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8"/>
      <c r="J553" s="2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8"/>
      <c r="J554" s="2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8"/>
      <c r="J555" s="2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8"/>
      <c r="J556" s="2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8"/>
      <c r="J557" s="2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8"/>
      <c r="J558" s="2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8"/>
      <c r="J559" s="2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8"/>
      <c r="J560" s="2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8"/>
      <c r="J561" s="2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8"/>
      <c r="J562" s="2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8"/>
      <c r="J563" s="2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8"/>
      <c r="J564" s="2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8"/>
      <c r="J565" s="2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8"/>
      <c r="J566" s="2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8"/>
      <c r="J567" s="2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8"/>
      <c r="J568" s="2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8"/>
      <c r="J569" s="2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8"/>
      <c r="J570" s="2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8"/>
      <c r="J571" s="2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8"/>
      <c r="J572" s="2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8"/>
      <c r="J573" s="2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8"/>
      <c r="J574" s="2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8"/>
      <c r="J575" s="2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8"/>
      <c r="J576" s="2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8"/>
      <c r="J577" s="2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8"/>
      <c r="J578" s="2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8"/>
      <c r="J579" s="2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8"/>
      <c r="J580" s="2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8"/>
      <c r="J581" s="2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8"/>
      <c r="J582" s="2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8"/>
      <c r="J583" s="2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8"/>
      <c r="J584" s="2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8"/>
      <c r="J585" s="2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8"/>
      <c r="J586" s="2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8"/>
      <c r="J587" s="2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8"/>
      <c r="J588" s="2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8"/>
      <c r="J589" s="2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8"/>
      <c r="J590" s="2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8"/>
      <c r="J591" s="2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8"/>
      <c r="J592" s="2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8"/>
      <c r="J593" s="2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8"/>
      <c r="J594" s="2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8"/>
      <c r="J595" s="2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8"/>
      <c r="J596" s="2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8"/>
      <c r="J597" s="2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8"/>
      <c r="J598" s="2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8"/>
      <c r="J599" s="2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8"/>
      <c r="J600" s="2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8"/>
      <c r="J601" s="2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8"/>
      <c r="J602" s="2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8"/>
      <c r="J603" s="2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8"/>
      <c r="J604" s="2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8"/>
      <c r="J605" s="2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8"/>
      <c r="J606" s="2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8"/>
      <c r="J607" s="2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8"/>
      <c r="J608" s="2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8"/>
      <c r="J609" s="2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8"/>
      <c r="J610" s="2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8"/>
      <c r="J611" s="2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8"/>
      <c r="J612" s="2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8"/>
      <c r="J613" s="2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8"/>
      <c r="J614" s="2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8"/>
      <c r="J615" s="2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8"/>
      <c r="J616" s="2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8"/>
      <c r="J617" s="2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8"/>
      <c r="J618" s="2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8"/>
      <c r="J619" s="2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8"/>
      <c r="J620" s="2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8"/>
      <c r="J621" s="2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8"/>
      <c r="J622" s="2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8"/>
      <c r="J623" s="2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8"/>
      <c r="J624" s="2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8"/>
      <c r="J625" s="2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8"/>
      <c r="J626" s="2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8"/>
      <c r="J627" s="2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8"/>
      <c r="J628" s="2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8"/>
      <c r="J629" s="2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8"/>
      <c r="J630" s="2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8"/>
      <c r="J631" s="2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8"/>
      <c r="J632" s="2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8"/>
      <c r="J633" s="2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8"/>
      <c r="J634" s="2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8"/>
      <c r="J635" s="2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8"/>
      <c r="J636" s="2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8"/>
      <c r="J637" s="2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8"/>
      <c r="J638" s="2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8"/>
      <c r="J639" s="2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8"/>
      <c r="J640" s="2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8"/>
      <c r="J641" s="2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8"/>
      <c r="J642" s="2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8"/>
      <c r="J643" s="2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8"/>
      <c r="J644" s="2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8"/>
      <c r="J645" s="2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8"/>
      <c r="J646" s="2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8"/>
      <c r="J647" s="2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8"/>
      <c r="J648" s="2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8"/>
      <c r="J649" s="2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8"/>
      <c r="J650" s="2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8"/>
      <c r="J651" s="2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8"/>
      <c r="J652" s="2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8"/>
      <c r="J653" s="2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8"/>
      <c r="J654" s="2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8"/>
      <c r="J655" s="2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8"/>
      <c r="J656" s="2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8"/>
      <c r="J657" s="2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8"/>
      <c r="J658" s="2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8"/>
      <c r="J659" s="2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8"/>
      <c r="J660" s="2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8"/>
      <c r="J661" s="2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8"/>
      <c r="J662" s="2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8"/>
      <c r="J663" s="2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8"/>
      <c r="J664" s="2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8"/>
      <c r="J665" s="2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8"/>
      <c r="J666" s="2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8"/>
      <c r="J667" s="2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8"/>
      <c r="J668" s="2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8"/>
      <c r="J669" s="2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8"/>
      <c r="J670" s="2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8"/>
      <c r="J671" s="2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8"/>
      <c r="J672" s="2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8"/>
      <c r="J673" s="2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8"/>
      <c r="J674" s="2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8"/>
      <c r="J675" s="2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8"/>
      <c r="J676" s="2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8"/>
      <c r="J677" s="2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8"/>
      <c r="J678" s="2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8"/>
      <c r="J679" s="2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8"/>
      <c r="J680" s="2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8"/>
      <c r="J681" s="2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8"/>
      <c r="J682" s="2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8"/>
      <c r="J683" s="2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8"/>
      <c r="J684" s="2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8"/>
      <c r="J685" s="2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8"/>
      <c r="J686" s="2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8"/>
      <c r="J687" s="2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8"/>
      <c r="J688" s="2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8"/>
      <c r="J689" s="2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8"/>
      <c r="J690" s="2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8"/>
      <c r="J691" s="2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8"/>
      <c r="J692" s="2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8"/>
      <c r="J693" s="2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8"/>
      <c r="J694" s="2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8"/>
      <c r="J695" s="2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8"/>
      <c r="J696" s="2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8"/>
      <c r="J697" s="2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8"/>
      <c r="J698" s="2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8"/>
      <c r="J699" s="2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8"/>
      <c r="J700" s="2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8"/>
      <c r="J701" s="2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8"/>
      <c r="J702" s="2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8"/>
      <c r="J703" s="2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8"/>
      <c r="J704" s="2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8"/>
      <c r="J705" s="2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8"/>
      <c r="J706" s="2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8"/>
      <c r="J707" s="2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8"/>
      <c r="J708" s="2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8"/>
      <c r="J709" s="2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8"/>
      <c r="J710" s="2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8"/>
      <c r="J711" s="2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8"/>
      <c r="J712" s="2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8"/>
      <c r="J713" s="2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8"/>
      <c r="J714" s="2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8"/>
      <c r="J715" s="2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8"/>
      <c r="J716" s="2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8"/>
      <c r="J717" s="2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8"/>
      <c r="J718" s="2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8"/>
      <c r="J719" s="2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8"/>
      <c r="J720" s="2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8"/>
      <c r="J721" s="2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8"/>
      <c r="J722" s="2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8"/>
      <c r="J723" s="2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8"/>
      <c r="J724" s="2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8"/>
      <c r="J725" s="2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8"/>
      <c r="J726" s="2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8"/>
      <c r="J727" s="2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8"/>
      <c r="J728" s="2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8"/>
      <c r="J729" s="2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8"/>
      <c r="J730" s="2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8"/>
      <c r="J731" s="2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8"/>
      <c r="J732" s="2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8"/>
      <c r="J733" s="2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8"/>
      <c r="J734" s="2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8"/>
      <c r="J735" s="2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8"/>
      <c r="J736" s="2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8"/>
      <c r="J737" s="2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8"/>
      <c r="J738" s="2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8"/>
      <c r="J739" s="2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8"/>
      <c r="J740" s="2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8"/>
      <c r="J741" s="2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8"/>
      <c r="J742" s="2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8"/>
      <c r="J743" s="2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8"/>
      <c r="J744" s="2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8"/>
      <c r="J745" s="2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8"/>
      <c r="J746" s="2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8"/>
      <c r="J747" s="2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8"/>
      <c r="J748" s="2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8"/>
      <c r="J749" s="2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8"/>
      <c r="J750" s="2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8"/>
      <c r="J751" s="2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8"/>
      <c r="J752" s="2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8"/>
      <c r="J753" s="2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8"/>
      <c r="J754" s="2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8"/>
      <c r="J755" s="2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8"/>
      <c r="J756" s="2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8"/>
      <c r="J757" s="2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8"/>
      <c r="J758" s="2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8"/>
      <c r="J759" s="2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8"/>
      <c r="J760" s="2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8"/>
      <c r="J761" s="2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8"/>
      <c r="J762" s="2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8"/>
      <c r="J763" s="2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8"/>
      <c r="J764" s="2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8"/>
      <c r="J765" s="2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8"/>
      <c r="J766" s="2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8"/>
      <c r="J767" s="2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8"/>
      <c r="J768" s="2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8"/>
      <c r="J769" s="2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8"/>
      <c r="J770" s="2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8"/>
      <c r="J771" s="2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8"/>
      <c r="J772" s="2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8"/>
      <c r="J773" s="2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8"/>
      <c r="J774" s="2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8"/>
      <c r="J775" s="2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8"/>
      <c r="J776" s="2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8"/>
      <c r="J777" s="2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8"/>
      <c r="J778" s="2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8"/>
      <c r="J779" s="2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8"/>
      <c r="J780" s="2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8"/>
      <c r="J781" s="2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8"/>
      <c r="J782" s="2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8"/>
      <c r="J783" s="2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8"/>
      <c r="J784" s="2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8"/>
      <c r="J785" s="2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8"/>
      <c r="J786" s="2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8"/>
      <c r="J787" s="2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8"/>
      <c r="J788" s="2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8"/>
      <c r="J789" s="2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8"/>
      <c r="J790" s="2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8"/>
      <c r="J791" s="2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8"/>
      <c r="J792" s="2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8"/>
      <c r="J793" s="2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8"/>
      <c r="J794" s="2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8"/>
      <c r="J795" s="2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8"/>
      <c r="J796" s="2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8"/>
      <c r="J797" s="2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8"/>
      <c r="J798" s="2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8"/>
      <c r="J799" s="2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8"/>
      <c r="J800" s="2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8"/>
      <c r="J801" s="2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8"/>
      <c r="J802" s="2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8"/>
      <c r="J803" s="2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8"/>
      <c r="J804" s="2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8"/>
      <c r="J805" s="2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8"/>
      <c r="J806" s="2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8"/>
      <c r="J807" s="2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8"/>
      <c r="J808" s="2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8"/>
      <c r="J809" s="2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8"/>
      <c r="J810" s="2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8"/>
      <c r="J811" s="2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8"/>
      <c r="J812" s="2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8"/>
      <c r="J813" s="2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8"/>
      <c r="J814" s="2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8"/>
      <c r="J815" s="2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8"/>
      <c r="J816" s="2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8"/>
      <c r="J817" s="2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8"/>
      <c r="J818" s="2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8"/>
      <c r="J819" s="2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8"/>
      <c r="J820" s="2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8"/>
      <c r="J821" s="2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8"/>
      <c r="J822" s="2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8"/>
      <c r="J823" s="2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8"/>
      <c r="J824" s="2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8"/>
      <c r="J825" s="2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8"/>
      <c r="J826" s="2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8"/>
      <c r="J827" s="2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8"/>
      <c r="J828" s="2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8"/>
      <c r="J829" s="2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8"/>
      <c r="J830" s="2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8"/>
      <c r="J831" s="2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8"/>
      <c r="J832" s="2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8"/>
      <c r="J833" s="2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8"/>
      <c r="J834" s="2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8"/>
      <c r="J835" s="2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8"/>
      <c r="J836" s="2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8"/>
      <c r="J837" s="2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8"/>
      <c r="J838" s="2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8"/>
      <c r="J839" s="2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8"/>
      <c r="J840" s="2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8"/>
      <c r="J841" s="2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8"/>
      <c r="J842" s="2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8"/>
      <c r="J843" s="2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8"/>
      <c r="J844" s="2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8"/>
      <c r="J845" s="2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8"/>
      <c r="J846" s="2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8"/>
      <c r="J847" s="2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8"/>
      <c r="J848" s="2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8"/>
      <c r="J849" s="2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8"/>
      <c r="J850" s="2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8"/>
      <c r="J851" s="2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8"/>
      <c r="J852" s="2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8"/>
      <c r="J853" s="2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8"/>
      <c r="J854" s="2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8"/>
      <c r="J855" s="2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8"/>
      <c r="J856" s="2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8"/>
      <c r="J857" s="2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8"/>
      <c r="J858" s="2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8"/>
      <c r="J859" s="2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8"/>
      <c r="J860" s="2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8"/>
      <c r="J861" s="2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8"/>
      <c r="J862" s="2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8"/>
      <c r="J863" s="2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8"/>
      <c r="J864" s="2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8"/>
      <c r="J865" s="2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8"/>
      <c r="J866" s="2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8"/>
      <c r="J867" s="2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8"/>
      <c r="J868" s="2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8"/>
      <c r="J869" s="2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8"/>
      <c r="J870" s="2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8"/>
      <c r="J871" s="2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8"/>
      <c r="J872" s="2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8"/>
      <c r="J873" s="2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8"/>
      <c r="J874" s="2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8"/>
      <c r="J875" s="2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8"/>
      <c r="J876" s="2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8"/>
      <c r="J877" s="2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8"/>
      <c r="J878" s="2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8"/>
      <c r="J879" s="2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8"/>
      <c r="J880" s="2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8"/>
      <c r="J881" s="2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8"/>
      <c r="J882" s="2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8"/>
      <c r="J883" s="2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8"/>
      <c r="J884" s="2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8"/>
      <c r="J885" s="2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8"/>
      <c r="J886" s="2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8"/>
      <c r="J887" s="2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8"/>
      <c r="J888" s="2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8"/>
      <c r="J889" s="2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8"/>
      <c r="J890" s="2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8"/>
      <c r="J891" s="2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8"/>
      <c r="J892" s="2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8"/>
      <c r="J893" s="2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8"/>
      <c r="J894" s="2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8"/>
      <c r="J895" s="2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8"/>
      <c r="J896" s="2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8"/>
      <c r="J897" s="2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8"/>
      <c r="J898" s="2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8"/>
      <c r="J899" s="2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8"/>
      <c r="J900" s="2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8"/>
      <c r="J901" s="2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8"/>
      <c r="J902" s="2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8"/>
      <c r="J903" s="2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8"/>
      <c r="J904" s="2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8"/>
      <c r="J905" s="2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8"/>
      <c r="J906" s="2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8"/>
      <c r="J907" s="2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8"/>
      <c r="J908" s="2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8"/>
      <c r="J909" s="2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8"/>
      <c r="J910" s="2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8"/>
      <c r="J911" s="2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8"/>
      <c r="J912" s="2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8"/>
      <c r="J913" s="2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8"/>
      <c r="J914" s="2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8"/>
      <c r="J915" s="2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8"/>
      <c r="J916" s="2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8"/>
      <c r="J917" s="2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8"/>
      <c r="J918" s="2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8"/>
      <c r="J919" s="2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8"/>
      <c r="J920" s="2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8"/>
      <c r="J921" s="2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8"/>
      <c r="J922" s="2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8"/>
      <c r="J923" s="2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8"/>
      <c r="J924" s="2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8"/>
      <c r="J925" s="2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8"/>
      <c r="J926" s="2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8"/>
      <c r="J927" s="2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8"/>
      <c r="J928" s="2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8"/>
      <c r="J929" s="2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8"/>
      <c r="J930" s="2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8"/>
      <c r="J931" s="2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8"/>
      <c r="J932" s="2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8"/>
      <c r="J933" s="2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8"/>
      <c r="J934" s="2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8"/>
      <c r="J935" s="2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8"/>
      <c r="J936" s="2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8"/>
      <c r="J937" s="2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8"/>
      <c r="J938" s="2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8"/>
      <c r="J939" s="2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8"/>
      <c r="J940" s="2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8"/>
      <c r="J941" s="2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8"/>
      <c r="J942" s="2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8"/>
      <c r="J943" s="2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8"/>
      <c r="J944" s="2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8"/>
      <c r="J945" s="2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8"/>
      <c r="J946" s="2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8"/>
      <c r="J947" s="2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8"/>
      <c r="J948" s="2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8"/>
      <c r="J949" s="2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8"/>
      <c r="J950" s="2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8"/>
      <c r="J951" s="2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8"/>
      <c r="J952" s="2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8"/>
      <c r="J953" s="2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8"/>
      <c r="J954" s="2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8"/>
      <c r="J955" s="2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8"/>
      <c r="J956" s="2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8"/>
      <c r="J957" s="2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8"/>
      <c r="J958" s="2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8"/>
      <c r="J959" s="2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8"/>
      <c r="J960" s="2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8"/>
      <c r="J961" s="2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8"/>
      <c r="J962" s="2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8"/>
      <c r="J963" s="2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8"/>
      <c r="J964" s="2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8"/>
      <c r="J965" s="2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8"/>
      <c r="J966" s="2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8"/>
      <c r="J967" s="2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8"/>
      <c r="J968" s="2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8"/>
      <c r="J969" s="2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8"/>
      <c r="J970" s="2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8"/>
      <c r="J971" s="2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8"/>
      <c r="J972" s="2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8"/>
      <c r="J973" s="2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8"/>
      <c r="J974" s="2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8"/>
      <c r="J975" s="2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8"/>
      <c r="J976" s="2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8"/>
      <c r="J977" s="2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8"/>
      <c r="J978" s="2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8"/>
      <c r="J979" s="2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8"/>
      <c r="J980" s="2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8"/>
      <c r="J981" s="2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8"/>
      <c r="J982" s="2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8"/>
      <c r="J983" s="2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8"/>
      <c r="J984" s="2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8"/>
      <c r="J985" s="2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8"/>
      <c r="J986" s="2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8"/>
      <c r="J987" s="2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8"/>
      <c r="J988" s="2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8"/>
      <c r="J989" s="2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8"/>
      <c r="J990" s="2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8"/>
      <c r="J991" s="2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8"/>
      <c r="J992" s="2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8"/>
      <c r="J993" s="2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8"/>
      <c r="J994" s="2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8"/>
      <c r="J995" s="2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8"/>
      <c r="J996" s="2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8"/>
      <c r="J997" s="2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8"/>
      <c r="J998" s="2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8"/>
      <c r="J999" s="2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8"/>
      <c r="J1000" s="2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6">
    <mergeCell ref="B5:I5"/>
    <mergeCell ref="B6:I6"/>
    <mergeCell ref="B7:I7"/>
    <mergeCell ref="B8:I8"/>
    <mergeCell ref="C11:I11"/>
    <mergeCell ref="F17:I17"/>
    <mergeCell ref="D18:E18"/>
    <mergeCell ref="C51:I51"/>
    <mergeCell ref="G52:I52"/>
    <mergeCell ref="D19:E19"/>
    <mergeCell ref="D20:E20"/>
    <mergeCell ref="C29:I29"/>
    <mergeCell ref="C30:I32"/>
    <mergeCell ref="D35:I35"/>
    <mergeCell ref="D36:I36"/>
    <mergeCell ref="D37:I37"/>
  </mergeCells>
  <dataValidations>
    <dataValidation type="list" allowBlank="1" showInputMessage="1" prompt="Choose code via Dropdown Menu - Only the code embedded in this excel worksheet is recognized. Do not alter the formula. If error occurs, contact the creator of the file." sqref="D12">
      <formula1>'Microbial Info'!$A$4:$A$42</formula1>
    </dataValidation>
  </dataValidations>
  <printOptions/>
  <pageMargins bottom="0.75" footer="0.0" header="0.0" left="0.7" right="0.7" top="0.75"/>
  <pageSetup paperSize="9" orientation="portrait"/>
  <headerFooter>
    <oddHeader>&amp;L00-047For laboratory services and inquiries, email us @Integratedlab@usc.edu.ph</oddHeader>
    <oddFooter>&amp;R02-032Prepared by Mc. Harold V. Pena Research Asisstant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0.0"/>
    <col customWidth="1" min="2" max="2" width="16.43"/>
    <col customWidth="1" min="3" max="3" width="21.71"/>
    <col customWidth="1" min="4" max="4" width="23.57"/>
    <col customWidth="1" min="5" max="5" width="13.29"/>
    <col customWidth="1" min="6" max="6" width="25.86"/>
    <col customWidth="1" min="7" max="7" width="16.0"/>
    <col customWidth="1" min="8" max="8" width="28.86"/>
    <col customWidth="1" min="9" max="9" width="13.14"/>
    <col customWidth="1" min="10" max="10" width="12.71"/>
    <col customWidth="1" min="11" max="18" width="15.29"/>
    <col customWidth="1" min="19" max="19" width="21.57"/>
    <col customWidth="1" min="20" max="20" width="25.0"/>
    <col customWidth="1" min="21" max="21" width="22.86"/>
    <col customWidth="1" min="22" max="22" width="17.57"/>
    <col customWidth="1" min="23" max="23" width="15.29"/>
    <col customWidth="1" min="24" max="27" width="16.29"/>
    <col customWidth="1" min="28" max="28" width="23.29"/>
    <col customWidth="1" min="29" max="29" width="17.29"/>
    <col customWidth="1" min="30" max="30" width="23.29"/>
    <col customWidth="1" min="31" max="31" width="29.71"/>
    <col customWidth="1" min="32" max="32" width="31.29"/>
    <col customWidth="1" min="33" max="33" width="25.0"/>
    <col customWidth="1" min="34" max="34" width="31.14"/>
    <col customWidth="1" min="35" max="35" width="26.29"/>
    <col customWidth="1" min="36" max="37" width="12.14"/>
    <col customWidth="1" min="38" max="38" width="12.29"/>
    <col customWidth="1" min="39" max="39" width="11.29"/>
    <col customWidth="1" min="40" max="40" width="12.0"/>
    <col customWidth="1" min="41" max="41" width="10.57"/>
    <col customWidth="1" min="42" max="42" width="11.57"/>
    <col customWidth="1" min="43" max="43" width="11.71"/>
    <col customWidth="1" min="44" max="58" width="8.71"/>
    <col customWidth="1" min="59" max="59" width="12.71"/>
    <col customWidth="1" min="60" max="61" width="25.43"/>
    <col customWidth="1" min="62" max="64" width="19.71"/>
    <col customWidth="1" min="65" max="65" width="25.86"/>
    <col customWidth="1" min="66" max="66" width="16.0"/>
    <col customWidth="1" min="67" max="67" width="32.29"/>
    <col customWidth="1" min="68" max="98" width="8.71"/>
  </cols>
  <sheetData>
    <row r="1" ht="14.25" customHeight="1">
      <c r="C1" s="119"/>
      <c r="J1" s="120"/>
      <c r="AL1" s="119"/>
    </row>
    <row r="2" ht="33.0" customHeight="1">
      <c r="A2" s="119"/>
      <c r="B2" s="119"/>
      <c r="C2" s="119"/>
      <c r="D2" s="121" t="s">
        <v>57</v>
      </c>
      <c r="E2" s="122"/>
      <c r="F2" s="122"/>
      <c r="G2" s="122"/>
      <c r="H2" s="122"/>
      <c r="I2" s="123" t="s">
        <v>43</v>
      </c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4"/>
      <c r="V2" s="125" t="s">
        <v>58</v>
      </c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126" t="s">
        <v>59</v>
      </c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Y2" s="95"/>
      <c r="BZ2" s="95"/>
      <c r="CA2" s="95"/>
      <c r="CB2" s="95"/>
      <c r="CC2" s="95"/>
      <c r="CD2" s="95"/>
      <c r="CE2" s="95"/>
      <c r="CF2" s="95"/>
      <c r="CG2" s="95"/>
      <c r="CH2" s="95"/>
      <c r="CI2" s="95"/>
      <c r="CJ2" s="95"/>
      <c r="CK2" s="95"/>
      <c r="CL2" s="95"/>
      <c r="CM2" s="95"/>
      <c r="CN2" s="95"/>
      <c r="CO2" s="95"/>
      <c r="CP2" s="95"/>
      <c r="CQ2" s="95"/>
      <c r="CR2" s="95"/>
      <c r="CS2" s="95"/>
      <c r="CT2" s="95"/>
    </row>
    <row r="3" ht="14.25" customHeight="1">
      <c r="A3" s="127" t="s">
        <v>60</v>
      </c>
      <c r="B3" s="127" t="s">
        <v>61</v>
      </c>
      <c r="C3" s="127" t="s">
        <v>62</v>
      </c>
      <c r="D3" s="128" t="s">
        <v>63</v>
      </c>
      <c r="E3" s="129" t="s">
        <v>64</v>
      </c>
      <c r="F3" s="129" t="s">
        <v>65</v>
      </c>
      <c r="G3" s="129" t="s">
        <v>66</v>
      </c>
      <c r="H3" s="129" t="s">
        <v>67</v>
      </c>
      <c r="I3" s="130" t="s">
        <v>68</v>
      </c>
      <c r="J3" s="131" t="s">
        <v>69</v>
      </c>
      <c r="K3" s="131" t="s">
        <v>70</v>
      </c>
      <c r="L3" s="131" t="s">
        <v>71</v>
      </c>
      <c r="M3" s="131" t="s">
        <v>72</v>
      </c>
      <c r="N3" s="131" t="s">
        <v>73</v>
      </c>
      <c r="O3" s="131" t="s">
        <v>74</v>
      </c>
      <c r="P3" s="131" t="s">
        <v>75</v>
      </c>
      <c r="Q3" s="131" t="s">
        <v>76</v>
      </c>
      <c r="R3" s="131" t="s">
        <v>77</v>
      </c>
      <c r="S3" s="131" t="s">
        <v>78</v>
      </c>
      <c r="T3" s="131" t="s">
        <v>79</v>
      </c>
      <c r="U3" s="132" t="s">
        <v>80</v>
      </c>
      <c r="V3" s="127" t="s">
        <v>81</v>
      </c>
      <c r="W3" s="127" t="s">
        <v>82</v>
      </c>
      <c r="X3" s="127" t="s">
        <v>83</v>
      </c>
      <c r="Y3" s="127" t="s">
        <v>84</v>
      </c>
      <c r="Z3" s="127" t="s">
        <v>85</v>
      </c>
      <c r="AA3" s="127" t="s">
        <v>86</v>
      </c>
      <c r="AB3" s="133" t="s">
        <v>87</v>
      </c>
      <c r="AC3" s="133" t="s">
        <v>88</v>
      </c>
      <c r="AD3" s="127" t="s">
        <v>89</v>
      </c>
      <c r="AE3" s="127" t="s">
        <v>90</v>
      </c>
      <c r="AF3" s="127" t="s">
        <v>91</v>
      </c>
      <c r="AG3" s="127" t="s">
        <v>92</v>
      </c>
      <c r="AH3" s="127" t="s">
        <v>93</v>
      </c>
      <c r="AI3" s="127" t="s">
        <v>94</v>
      </c>
      <c r="AJ3" s="127" t="s">
        <v>95</v>
      </c>
      <c r="AK3" s="134" t="s">
        <v>96</v>
      </c>
      <c r="AL3" s="134" t="s">
        <v>97</v>
      </c>
      <c r="AM3" s="134" t="s">
        <v>98</v>
      </c>
      <c r="AN3" s="134" t="s">
        <v>99</v>
      </c>
      <c r="AO3" s="134" t="s">
        <v>100</v>
      </c>
      <c r="AP3" s="134" t="s">
        <v>101</v>
      </c>
      <c r="AQ3" s="134" t="s">
        <v>102</v>
      </c>
      <c r="AR3" s="134" t="s">
        <v>103</v>
      </c>
      <c r="AS3" s="134" t="s">
        <v>104</v>
      </c>
      <c r="AT3" s="134" t="s">
        <v>105</v>
      </c>
      <c r="AU3" s="134" t="s">
        <v>106</v>
      </c>
      <c r="AV3" s="134" t="s">
        <v>107</v>
      </c>
      <c r="AW3" s="134" t="s">
        <v>108</v>
      </c>
      <c r="AX3" s="134" t="s">
        <v>109</v>
      </c>
      <c r="AY3" s="134" t="s">
        <v>110</v>
      </c>
      <c r="AZ3" s="134" t="s">
        <v>111</v>
      </c>
      <c r="BA3" s="134" t="s">
        <v>112</v>
      </c>
      <c r="BB3" s="134" t="s">
        <v>113</v>
      </c>
      <c r="BC3" s="134" t="s">
        <v>114</v>
      </c>
      <c r="BD3" s="134" t="s">
        <v>115</v>
      </c>
      <c r="BE3" s="134" t="s">
        <v>116</v>
      </c>
      <c r="BF3" s="127" t="s">
        <v>117</v>
      </c>
      <c r="BG3" s="127" t="s">
        <v>118</v>
      </c>
      <c r="BH3" s="127" t="s">
        <v>119</v>
      </c>
      <c r="BI3" s="127" t="s">
        <v>120</v>
      </c>
      <c r="BJ3" s="127" t="s">
        <v>121</v>
      </c>
      <c r="BK3" s="127" t="s">
        <v>122</v>
      </c>
      <c r="BL3" s="127" t="s">
        <v>123</v>
      </c>
      <c r="BM3" s="127" t="s">
        <v>124</v>
      </c>
      <c r="BN3" s="127" t="s">
        <v>125</v>
      </c>
      <c r="BO3" s="127" t="s">
        <v>126</v>
      </c>
      <c r="BP3" s="127" t="s">
        <v>127</v>
      </c>
      <c r="BQ3" s="127" t="s">
        <v>128</v>
      </c>
      <c r="BR3" s="127" t="s">
        <v>129</v>
      </c>
      <c r="BS3" s="127" t="s">
        <v>130</v>
      </c>
      <c r="BT3" s="127" t="s">
        <v>131</v>
      </c>
      <c r="BU3" s="127" t="s">
        <v>132</v>
      </c>
      <c r="BV3" s="127" t="s">
        <v>133</v>
      </c>
      <c r="BW3" s="127" t="s">
        <v>134</v>
      </c>
      <c r="BX3" s="127" t="s">
        <v>135</v>
      </c>
      <c r="BY3" s="127" t="s">
        <v>136</v>
      </c>
      <c r="BZ3" s="127" t="s">
        <v>137</v>
      </c>
      <c r="CA3" s="127" t="s">
        <v>138</v>
      </c>
      <c r="CB3" s="127" t="s">
        <v>139</v>
      </c>
      <c r="CC3" s="127" t="s">
        <v>140</v>
      </c>
      <c r="CD3" s="127" t="s">
        <v>141</v>
      </c>
      <c r="CE3" s="127" t="s">
        <v>142</v>
      </c>
      <c r="CF3" s="127" t="s">
        <v>143</v>
      </c>
      <c r="CG3" s="127" t="s">
        <v>144</v>
      </c>
      <c r="CH3" s="127" t="s">
        <v>145</v>
      </c>
      <c r="CI3" s="127" t="s">
        <v>146</v>
      </c>
      <c r="CJ3" s="127" t="s">
        <v>147</v>
      </c>
      <c r="CK3" s="127" t="s">
        <v>148</v>
      </c>
      <c r="CL3" s="127" t="s">
        <v>149</v>
      </c>
      <c r="CM3" s="127" t="s">
        <v>150</v>
      </c>
      <c r="CN3" s="127" t="s">
        <v>151</v>
      </c>
      <c r="CO3" s="127" t="s">
        <v>152</v>
      </c>
      <c r="CP3" s="127" t="s">
        <v>153</v>
      </c>
      <c r="CQ3" s="127" t="s">
        <v>154</v>
      </c>
      <c r="CR3" s="127" t="s">
        <v>155</v>
      </c>
      <c r="CS3" s="127" t="s">
        <v>156</v>
      </c>
      <c r="CT3" s="127" t="s">
        <v>157</v>
      </c>
    </row>
    <row r="4" ht="14.25" customHeight="1">
      <c r="A4" s="135" t="s">
        <v>158</v>
      </c>
      <c r="B4" s="136" t="s">
        <v>159</v>
      </c>
      <c r="C4" s="137" t="s">
        <v>160</v>
      </c>
      <c r="D4" s="138"/>
      <c r="E4" s="139"/>
      <c r="F4" s="139"/>
      <c r="G4" s="139"/>
      <c r="H4" s="140"/>
      <c r="I4" s="141" t="s">
        <v>161</v>
      </c>
      <c r="J4" s="142"/>
      <c r="K4" s="142"/>
      <c r="L4" s="142" t="s">
        <v>162</v>
      </c>
      <c r="M4" s="142" t="s">
        <v>163</v>
      </c>
      <c r="N4" s="142" t="s">
        <v>164</v>
      </c>
      <c r="O4" s="142" t="s">
        <v>165</v>
      </c>
      <c r="P4" s="142" t="s">
        <v>166</v>
      </c>
      <c r="Q4" s="142" t="s">
        <v>167</v>
      </c>
      <c r="R4" s="142" t="s">
        <v>168</v>
      </c>
      <c r="S4" s="142"/>
      <c r="T4" s="142"/>
      <c r="U4" s="143" t="str">
        <f>CONCATENATE("Colonies of"," ",'Microbial Info'!$D4, " ","grown on LB Agar for 24-48 h are approximately", " ",K4," ","in diameter."," ","Cell shape is"," ",'Microbial Info'!$I4," ","and is"," ",'Microbial Info'!$V4,"."," ","Pigmentation is"," ",'Microbial Info'!$L4," ","and are"," ", 'Microbial Info'!$Q4,"."," ","Colonies are"," ",'Microbial Info'!$P4," ","and are"," ",'Microbial Info'!$M4," ","in form with"," ",'Microbial Info'!$O4," ","margin."," ","They have"," ",'Microbial Info'!$N4," ","elevation."," ","When manipulated with a needle, the colonies are"," ",'Microbial Info'!$R4,".")</f>
        <v>Colonies of  grown on LB Agar for 24-48 h are approximately  in diameter. Cell shape is cocci and is gram-negative. Pigmentation is off-white and are translucent. Colonies are smooth and are punctiform in form with undulate margin. They have convex elevation. When manipulated with a needle, the colonies are butyrous.</v>
      </c>
      <c r="V4" s="144" t="s">
        <v>169</v>
      </c>
      <c r="W4" s="144" t="s">
        <v>170</v>
      </c>
      <c r="X4" s="144" t="s">
        <v>171</v>
      </c>
      <c r="Y4" s="144" t="s">
        <v>170</v>
      </c>
      <c r="Z4" s="144"/>
      <c r="AA4" s="144" t="s">
        <v>172</v>
      </c>
      <c r="AB4" s="144" t="s">
        <v>171</v>
      </c>
      <c r="AC4" s="144" t="s">
        <v>171</v>
      </c>
      <c r="AD4" s="144"/>
      <c r="AE4" s="144"/>
      <c r="AF4" s="144"/>
      <c r="AG4" s="144"/>
      <c r="AH4" s="144"/>
      <c r="AI4" s="144"/>
      <c r="AJ4" s="145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6"/>
      <c r="BL4" s="146"/>
      <c r="BM4" s="146"/>
      <c r="BN4" s="146"/>
      <c r="BO4" s="146"/>
      <c r="BP4" s="146"/>
      <c r="BQ4" s="146"/>
      <c r="BR4" s="146"/>
      <c r="BS4" s="146"/>
      <c r="BT4" s="146"/>
      <c r="BU4" s="146"/>
      <c r="BV4" s="146"/>
      <c r="BW4" s="146"/>
      <c r="BX4" s="146"/>
      <c r="BY4" s="146"/>
      <c r="BZ4" s="146"/>
      <c r="CA4" s="146"/>
      <c r="CB4" s="146"/>
      <c r="CC4" s="146"/>
      <c r="CD4" s="146"/>
      <c r="CE4" s="146"/>
      <c r="CF4" s="146"/>
      <c r="CG4" s="146"/>
      <c r="CH4" s="146"/>
      <c r="CI4" s="146"/>
      <c r="CJ4" s="146"/>
      <c r="CK4" s="146"/>
      <c r="CL4" s="146"/>
      <c r="CM4" s="146"/>
      <c r="CN4" s="146"/>
      <c r="CO4" s="146"/>
      <c r="CP4" s="146"/>
      <c r="CQ4" s="146"/>
      <c r="CR4" s="146"/>
      <c r="CS4" s="146"/>
      <c r="CT4" s="146"/>
    </row>
    <row r="5" ht="14.25" customHeight="1">
      <c r="A5" s="135" t="s">
        <v>173</v>
      </c>
      <c r="B5" s="136" t="s">
        <v>159</v>
      </c>
      <c r="C5" s="137"/>
      <c r="D5" s="138"/>
      <c r="E5" s="139"/>
      <c r="F5" s="147"/>
      <c r="G5" s="147"/>
      <c r="H5" s="148"/>
      <c r="I5" s="141" t="s">
        <v>161</v>
      </c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3"/>
      <c r="V5" s="144" t="s">
        <v>174</v>
      </c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5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6"/>
      <c r="BH5" s="146"/>
      <c r="BI5" s="146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  <c r="BW5" s="146"/>
      <c r="BX5" s="146"/>
      <c r="BY5" s="146"/>
      <c r="BZ5" s="146"/>
      <c r="CA5" s="146"/>
      <c r="CB5" s="146"/>
      <c r="CC5" s="146"/>
      <c r="CD5" s="146"/>
      <c r="CE5" s="146"/>
      <c r="CF5" s="146"/>
      <c r="CG5" s="146"/>
      <c r="CH5" s="146"/>
      <c r="CI5" s="146"/>
      <c r="CJ5" s="146"/>
      <c r="CK5" s="146"/>
      <c r="CL5" s="146"/>
      <c r="CM5" s="146"/>
      <c r="CN5" s="146"/>
      <c r="CO5" s="146"/>
      <c r="CP5" s="146"/>
      <c r="CQ5" s="146"/>
      <c r="CR5" s="146"/>
      <c r="CS5" s="146"/>
      <c r="CT5" s="146"/>
    </row>
    <row r="6" ht="14.25" customHeight="1">
      <c r="A6" s="135" t="s">
        <v>175</v>
      </c>
      <c r="B6" s="136" t="s">
        <v>159</v>
      </c>
      <c r="C6" s="137"/>
      <c r="D6" s="138"/>
      <c r="E6" s="139"/>
      <c r="F6" s="147"/>
      <c r="G6" s="147"/>
      <c r="H6" s="148"/>
      <c r="I6" s="141" t="s">
        <v>161</v>
      </c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3"/>
      <c r="V6" s="144"/>
      <c r="W6" s="144" t="s">
        <v>171</v>
      </c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5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6"/>
      <c r="AV6" s="146"/>
      <c r="AW6" s="146"/>
      <c r="AX6" s="146"/>
      <c r="AY6" s="146"/>
      <c r="AZ6" s="146"/>
      <c r="BA6" s="146"/>
      <c r="BB6" s="146"/>
      <c r="BC6" s="146"/>
      <c r="BD6" s="146"/>
      <c r="BE6" s="146"/>
      <c r="BF6" s="146"/>
      <c r="BG6" s="146"/>
      <c r="BH6" s="146"/>
      <c r="BI6" s="146"/>
      <c r="BJ6" s="146"/>
      <c r="BK6" s="146"/>
      <c r="BL6" s="146"/>
      <c r="BM6" s="146"/>
      <c r="BN6" s="146"/>
      <c r="BO6" s="146"/>
      <c r="BP6" s="146"/>
      <c r="BQ6" s="146"/>
      <c r="BR6" s="146"/>
      <c r="BS6" s="146"/>
      <c r="BT6" s="146"/>
      <c r="BU6" s="146"/>
      <c r="BV6" s="146"/>
      <c r="BW6" s="146"/>
      <c r="BX6" s="146"/>
      <c r="BY6" s="146"/>
      <c r="BZ6" s="146"/>
      <c r="CA6" s="146"/>
      <c r="CB6" s="146"/>
      <c r="CC6" s="146"/>
      <c r="CD6" s="146"/>
      <c r="CE6" s="146"/>
      <c r="CF6" s="146"/>
      <c r="CG6" s="146"/>
      <c r="CH6" s="146"/>
      <c r="CI6" s="146"/>
      <c r="CJ6" s="146"/>
      <c r="CK6" s="146"/>
      <c r="CL6" s="146"/>
      <c r="CM6" s="146"/>
      <c r="CN6" s="146"/>
      <c r="CO6" s="146"/>
      <c r="CP6" s="146"/>
      <c r="CQ6" s="146"/>
      <c r="CR6" s="146"/>
      <c r="CS6" s="146"/>
      <c r="CT6" s="146"/>
    </row>
    <row r="7" ht="14.25" customHeight="1">
      <c r="A7" s="135" t="s">
        <v>176</v>
      </c>
      <c r="B7" s="136" t="s">
        <v>159</v>
      </c>
      <c r="C7" s="137"/>
      <c r="D7" s="138"/>
      <c r="E7" s="139"/>
      <c r="F7" s="147"/>
      <c r="G7" s="147"/>
      <c r="H7" s="148"/>
      <c r="I7" s="141" t="s">
        <v>161</v>
      </c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3"/>
      <c r="V7" s="144"/>
      <c r="W7" s="144" t="s">
        <v>171</v>
      </c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5"/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146"/>
      <c r="AW7" s="146"/>
      <c r="AX7" s="146"/>
      <c r="AY7" s="146"/>
      <c r="AZ7" s="146"/>
      <c r="BA7" s="146"/>
      <c r="BB7" s="146"/>
      <c r="BC7" s="146"/>
      <c r="BD7" s="146"/>
      <c r="BE7" s="146"/>
      <c r="BF7" s="146"/>
      <c r="BG7" s="146"/>
      <c r="BH7" s="146"/>
      <c r="BI7" s="146"/>
      <c r="BJ7" s="146"/>
      <c r="BK7" s="146"/>
      <c r="BL7" s="146"/>
      <c r="BM7" s="146"/>
      <c r="BN7" s="146"/>
      <c r="BO7" s="146"/>
      <c r="BP7" s="146"/>
      <c r="BQ7" s="146"/>
      <c r="BR7" s="146"/>
      <c r="BS7" s="146"/>
      <c r="BT7" s="146"/>
      <c r="BU7" s="146"/>
      <c r="BV7" s="146"/>
      <c r="BW7" s="146"/>
      <c r="BX7" s="146"/>
      <c r="BY7" s="146"/>
      <c r="BZ7" s="146"/>
      <c r="CA7" s="146"/>
      <c r="CB7" s="146"/>
      <c r="CC7" s="146"/>
      <c r="CD7" s="146"/>
      <c r="CE7" s="146"/>
      <c r="CF7" s="146"/>
      <c r="CG7" s="146"/>
      <c r="CH7" s="146"/>
      <c r="CI7" s="146"/>
      <c r="CJ7" s="146"/>
      <c r="CK7" s="146"/>
      <c r="CL7" s="146"/>
      <c r="CM7" s="146"/>
      <c r="CN7" s="146"/>
      <c r="CO7" s="146"/>
      <c r="CP7" s="146"/>
      <c r="CQ7" s="146"/>
      <c r="CR7" s="146"/>
      <c r="CS7" s="146"/>
      <c r="CT7" s="146"/>
    </row>
    <row r="8" ht="14.25" customHeight="1">
      <c r="A8" s="135" t="s">
        <v>177</v>
      </c>
      <c r="B8" s="136" t="s">
        <v>159</v>
      </c>
      <c r="C8" s="137"/>
      <c r="D8" s="138"/>
      <c r="E8" s="139"/>
      <c r="F8" s="147"/>
      <c r="G8" s="147"/>
      <c r="H8" s="148"/>
      <c r="I8" s="141" t="s">
        <v>178</v>
      </c>
      <c r="J8" s="142"/>
      <c r="K8" s="142"/>
      <c r="L8" s="142" t="s">
        <v>179</v>
      </c>
      <c r="M8" s="142" t="s">
        <v>180</v>
      </c>
      <c r="N8" s="142" t="s">
        <v>164</v>
      </c>
      <c r="O8" s="142" t="s">
        <v>165</v>
      </c>
      <c r="P8" s="142" t="s">
        <v>166</v>
      </c>
      <c r="Q8" s="142" t="s">
        <v>181</v>
      </c>
      <c r="R8" s="142" t="s">
        <v>182</v>
      </c>
      <c r="S8" s="142"/>
      <c r="T8" s="142"/>
      <c r="U8" s="143" t="str">
        <f>CONCATENATE("Colonies of"," ",'Microbial Info'!$D8, " ","grown on LB Agar for 24-48 h are approximately", " ",K8," ","in diameter."," ","Cell shape is"," ",'Microbial Info'!$I8," ","and is"," ",'Microbial Info'!$V8,"."," ","Pigmentation is"," ",'Microbial Info'!$L8," ","and are"," ", 'Microbial Info'!$Q8,"."," ","Colonies are"," ",'Microbial Info'!$P8," ","and are"," ",'Microbial Info'!$M8," ","in form with"," ",'Microbial Info'!$O8," ","margin."," ","They have"," ",'Microbial Info'!$N8," ","elevation."," ","When manipulated with a needle, the colonies are"," ",'Microbial Info'!$R8,".")</f>
        <v>Colonies of  grown on LB Agar for 24-48 h are approximately  in diameter. Cell shape is rods and is gram-positive. Pigmentation is yellow and are opaque. Colonies are smooth and are irregular in form with undulate margin. They have convex elevation. When manipulated with a needle, the colonies are viscous.</v>
      </c>
      <c r="V8" s="144" t="s">
        <v>174</v>
      </c>
      <c r="W8" s="144" t="s">
        <v>170</v>
      </c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5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  <c r="BH8" s="146"/>
      <c r="BI8" s="146"/>
      <c r="BJ8" s="146"/>
      <c r="BK8" s="146"/>
      <c r="BL8" s="146"/>
      <c r="BM8" s="146"/>
      <c r="BN8" s="146"/>
      <c r="BO8" s="146"/>
      <c r="BP8" s="146"/>
      <c r="BQ8" s="146"/>
      <c r="BR8" s="146"/>
      <c r="BS8" s="146"/>
      <c r="BT8" s="146"/>
      <c r="BU8" s="146"/>
      <c r="BV8" s="146"/>
      <c r="BW8" s="146"/>
      <c r="BX8" s="146"/>
      <c r="BY8" s="146"/>
      <c r="BZ8" s="146"/>
      <c r="CA8" s="146"/>
      <c r="CB8" s="146"/>
      <c r="CC8" s="146"/>
      <c r="CD8" s="146"/>
      <c r="CE8" s="146"/>
      <c r="CF8" s="146"/>
      <c r="CG8" s="146"/>
      <c r="CH8" s="146"/>
      <c r="CI8" s="146"/>
      <c r="CJ8" s="146"/>
      <c r="CK8" s="146"/>
      <c r="CL8" s="146"/>
      <c r="CM8" s="146"/>
      <c r="CN8" s="146"/>
      <c r="CO8" s="146"/>
      <c r="CP8" s="146"/>
      <c r="CQ8" s="146"/>
      <c r="CR8" s="146"/>
      <c r="CS8" s="146"/>
      <c r="CT8" s="146"/>
    </row>
    <row r="9" ht="14.25" customHeight="1">
      <c r="A9" s="135" t="s">
        <v>183</v>
      </c>
      <c r="B9" s="136" t="s">
        <v>159</v>
      </c>
      <c r="C9" s="137"/>
      <c r="D9" s="138"/>
      <c r="E9" s="139"/>
      <c r="F9" s="147"/>
      <c r="G9" s="147"/>
      <c r="H9" s="148"/>
      <c r="I9" s="141" t="s">
        <v>161</v>
      </c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3"/>
      <c r="V9" s="144"/>
      <c r="W9" s="144" t="s">
        <v>171</v>
      </c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5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  <c r="BF9" s="146"/>
      <c r="BG9" s="146"/>
      <c r="BH9" s="146"/>
      <c r="BI9" s="146"/>
      <c r="BJ9" s="146"/>
      <c r="BK9" s="146"/>
      <c r="BL9" s="146"/>
      <c r="BM9" s="146"/>
      <c r="BN9" s="146"/>
      <c r="BO9" s="146"/>
      <c r="BP9" s="146"/>
      <c r="BQ9" s="146"/>
      <c r="BR9" s="146"/>
      <c r="BS9" s="146"/>
      <c r="BT9" s="146"/>
      <c r="BU9" s="146"/>
      <c r="BV9" s="146"/>
      <c r="BW9" s="146"/>
      <c r="BX9" s="146"/>
      <c r="BY9" s="146"/>
      <c r="BZ9" s="146"/>
      <c r="CA9" s="146"/>
      <c r="CB9" s="146"/>
      <c r="CC9" s="146"/>
      <c r="CD9" s="146"/>
      <c r="CE9" s="146"/>
      <c r="CF9" s="146"/>
      <c r="CG9" s="146"/>
      <c r="CH9" s="146"/>
      <c r="CI9" s="146"/>
      <c r="CJ9" s="146"/>
      <c r="CK9" s="146"/>
      <c r="CL9" s="146"/>
      <c r="CM9" s="146"/>
      <c r="CN9" s="146"/>
      <c r="CO9" s="146"/>
      <c r="CP9" s="146"/>
      <c r="CQ9" s="146"/>
      <c r="CR9" s="146"/>
      <c r="CS9" s="146"/>
      <c r="CT9" s="146"/>
    </row>
    <row r="10" ht="14.25" customHeight="1">
      <c r="A10" s="135" t="s">
        <v>184</v>
      </c>
      <c r="B10" s="136" t="s">
        <v>159</v>
      </c>
      <c r="C10" s="137"/>
      <c r="D10" s="138"/>
      <c r="E10" s="139"/>
      <c r="F10" s="147"/>
      <c r="G10" s="147"/>
      <c r="H10" s="148"/>
      <c r="I10" s="141" t="s">
        <v>178</v>
      </c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3"/>
      <c r="V10" s="144" t="s">
        <v>174</v>
      </c>
      <c r="W10" s="144" t="s">
        <v>170</v>
      </c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5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6"/>
      <c r="BF10" s="146"/>
      <c r="BG10" s="146"/>
      <c r="BH10" s="146"/>
      <c r="BI10" s="146"/>
      <c r="BJ10" s="146"/>
      <c r="BK10" s="146"/>
      <c r="BL10" s="146"/>
      <c r="BM10" s="146"/>
      <c r="BN10" s="146"/>
      <c r="BO10" s="146"/>
      <c r="BP10" s="146"/>
      <c r="BQ10" s="146"/>
      <c r="BR10" s="146"/>
      <c r="BS10" s="146"/>
      <c r="BT10" s="146"/>
      <c r="BU10" s="146"/>
      <c r="BV10" s="146"/>
      <c r="BW10" s="146"/>
      <c r="BX10" s="146"/>
      <c r="BY10" s="146"/>
      <c r="BZ10" s="146"/>
      <c r="CA10" s="146"/>
      <c r="CB10" s="146"/>
      <c r="CC10" s="146"/>
      <c r="CD10" s="146"/>
      <c r="CE10" s="146"/>
      <c r="CF10" s="146"/>
      <c r="CG10" s="146"/>
      <c r="CH10" s="146"/>
      <c r="CI10" s="146"/>
      <c r="CJ10" s="146"/>
      <c r="CK10" s="146"/>
      <c r="CL10" s="146"/>
      <c r="CM10" s="146"/>
      <c r="CN10" s="146"/>
      <c r="CO10" s="146"/>
      <c r="CP10" s="146"/>
      <c r="CQ10" s="146"/>
      <c r="CR10" s="146"/>
      <c r="CS10" s="146"/>
      <c r="CT10" s="146"/>
    </row>
    <row r="11" ht="14.25" customHeight="1">
      <c r="A11" s="135" t="s">
        <v>185</v>
      </c>
      <c r="B11" s="136" t="s">
        <v>159</v>
      </c>
      <c r="C11" s="137" t="s">
        <v>160</v>
      </c>
      <c r="D11" s="138"/>
      <c r="E11" s="139"/>
      <c r="F11" s="139"/>
      <c r="G11" s="139"/>
      <c r="H11" s="140"/>
      <c r="I11" s="141" t="s">
        <v>161</v>
      </c>
      <c r="J11" s="142"/>
      <c r="K11" s="142"/>
      <c r="L11" s="142" t="s">
        <v>186</v>
      </c>
      <c r="M11" s="142" t="s">
        <v>187</v>
      </c>
      <c r="N11" s="142" t="s">
        <v>188</v>
      </c>
      <c r="O11" s="142" t="s">
        <v>189</v>
      </c>
      <c r="P11" s="142" t="s">
        <v>166</v>
      </c>
      <c r="Q11" s="142" t="s">
        <v>181</v>
      </c>
      <c r="R11" s="142" t="s">
        <v>182</v>
      </c>
      <c r="S11" s="142"/>
      <c r="T11" s="142"/>
      <c r="U11" s="143" t="str">
        <f>CONCATENATE("Colonies of"," ",'Microbial Info'!$D11, " ","grown on LB Agar for 24-48 h are approximately", " ",K11," ","in diameter."," ","Cell shape is"," ",'Microbial Info'!$I11," ","and is"," ",'Microbial Info'!$V11,"."," ","Pigmentation is"," ",'Microbial Info'!$L11," ","and are"," ", 'Microbial Info'!$Q11,"."," ","Colonies are"," ",'Microbial Info'!$P11," ","and are"," ",'Microbial Info'!$M11," ","in form with"," ",'Microbial Info'!$O11," ","margin."," ","They have"," ",'Microbial Info'!$N11," ","elevation."," ","When manipulated with a needle, the colonies are"," ",'Microbial Info'!$R11,".")</f>
        <v>Colonies of  grown on LB Agar for 24-48 h are approximately  in diameter. Cell shape is cocci and is gram-negative. Pigmentation is Beige to light yellow and are opaque. Colonies are smooth and are circular in form with entire margin. They have raised elevation. When manipulated with a needle, the colonies are viscous.</v>
      </c>
      <c r="V11" s="144" t="s">
        <v>169</v>
      </c>
      <c r="W11" s="144" t="s">
        <v>171</v>
      </c>
      <c r="X11" s="144" t="s">
        <v>171</v>
      </c>
      <c r="Y11" s="144" t="s">
        <v>170</v>
      </c>
      <c r="Z11" s="144"/>
      <c r="AA11" s="144" t="s">
        <v>190</v>
      </c>
      <c r="AB11" s="144" t="s">
        <v>171</v>
      </c>
      <c r="AC11" s="144" t="s">
        <v>171</v>
      </c>
      <c r="AD11" s="144"/>
      <c r="AE11" s="144"/>
      <c r="AF11" s="144"/>
      <c r="AG11" s="144"/>
      <c r="AH11" s="144"/>
      <c r="AI11" s="144"/>
      <c r="AJ11" s="145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6"/>
      <c r="AX11" s="146"/>
      <c r="AY11" s="146"/>
      <c r="AZ11" s="146"/>
      <c r="BA11" s="146"/>
      <c r="BB11" s="146"/>
      <c r="BC11" s="146"/>
      <c r="BD11" s="146"/>
      <c r="BE11" s="146"/>
      <c r="BF11" s="146"/>
      <c r="BG11" s="146"/>
      <c r="BH11" s="146"/>
      <c r="BI11" s="146"/>
      <c r="BJ11" s="146"/>
      <c r="BK11" s="146"/>
      <c r="BL11" s="146"/>
      <c r="BM11" s="146"/>
      <c r="BN11" s="146"/>
      <c r="BO11" s="146"/>
      <c r="BP11" s="146"/>
      <c r="BQ11" s="146"/>
      <c r="BR11" s="146"/>
      <c r="BS11" s="146"/>
      <c r="BT11" s="146"/>
      <c r="BU11" s="146"/>
      <c r="BV11" s="146"/>
      <c r="BW11" s="146"/>
      <c r="BX11" s="146"/>
      <c r="BY11" s="146"/>
      <c r="BZ11" s="146"/>
      <c r="CA11" s="146"/>
      <c r="CB11" s="146"/>
      <c r="CC11" s="146"/>
      <c r="CD11" s="146"/>
      <c r="CE11" s="146"/>
      <c r="CF11" s="146"/>
      <c r="CG11" s="146"/>
      <c r="CH11" s="146"/>
      <c r="CI11" s="146"/>
      <c r="CJ11" s="146"/>
      <c r="CK11" s="146"/>
      <c r="CL11" s="146"/>
      <c r="CM11" s="146"/>
      <c r="CN11" s="146"/>
      <c r="CO11" s="146"/>
      <c r="CP11" s="146"/>
      <c r="CQ11" s="146"/>
      <c r="CR11" s="146"/>
      <c r="CS11" s="146"/>
      <c r="CT11" s="146"/>
    </row>
    <row r="12" ht="14.25" customHeight="1">
      <c r="A12" s="135" t="s">
        <v>191</v>
      </c>
      <c r="B12" s="136" t="s">
        <v>159</v>
      </c>
      <c r="C12" s="137"/>
      <c r="D12" s="138"/>
      <c r="E12" s="139" t="s">
        <v>192</v>
      </c>
      <c r="F12" s="147"/>
      <c r="G12" s="147"/>
      <c r="H12" s="148"/>
      <c r="I12" s="141" t="s">
        <v>161</v>
      </c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3"/>
      <c r="V12" s="144"/>
      <c r="W12" s="144" t="s">
        <v>171</v>
      </c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5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6"/>
      <c r="BF12" s="146"/>
      <c r="BG12" s="146"/>
      <c r="BH12" s="146"/>
      <c r="BI12" s="146"/>
      <c r="BJ12" s="146"/>
      <c r="BK12" s="146"/>
      <c r="BL12" s="146"/>
      <c r="BM12" s="146"/>
      <c r="BN12" s="146"/>
      <c r="BO12" s="146"/>
      <c r="BP12" s="146"/>
      <c r="BQ12" s="146"/>
      <c r="BR12" s="146"/>
      <c r="BS12" s="146"/>
      <c r="BT12" s="146"/>
      <c r="BU12" s="146"/>
      <c r="BV12" s="146"/>
      <c r="BW12" s="146"/>
      <c r="BX12" s="146"/>
      <c r="BY12" s="146"/>
      <c r="BZ12" s="146"/>
      <c r="CA12" s="146"/>
      <c r="CB12" s="146"/>
      <c r="CC12" s="146"/>
      <c r="CD12" s="146"/>
      <c r="CE12" s="146"/>
      <c r="CF12" s="146"/>
      <c r="CG12" s="146"/>
      <c r="CH12" s="146"/>
      <c r="CI12" s="146"/>
      <c r="CJ12" s="146"/>
      <c r="CK12" s="146"/>
      <c r="CL12" s="146"/>
      <c r="CM12" s="146"/>
      <c r="CN12" s="146"/>
      <c r="CO12" s="146"/>
      <c r="CP12" s="146"/>
      <c r="CQ12" s="146"/>
      <c r="CR12" s="146"/>
      <c r="CS12" s="146"/>
      <c r="CT12" s="146"/>
    </row>
    <row r="13" ht="14.25" customHeight="1">
      <c r="A13" s="135" t="s">
        <v>193</v>
      </c>
      <c r="B13" s="136" t="s">
        <v>159</v>
      </c>
      <c r="C13" s="137" t="s">
        <v>160</v>
      </c>
      <c r="D13" s="138"/>
      <c r="E13" s="139"/>
      <c r="F13" s="139"/>
      <c r="G13" s="139"/>
      <c r="H13" s="140"/>
      <c r="I13" s="141" t="s">
        <v>178</v>
      </c>
      <c r="J13" s="142"/>
      <c r="K13" s="142"/>
      <c r="L13" s="142" t="s">
        <v>194</v>
      </c>
      <c r="M13" s="142" t="s">
        <v>180</v>
      </c>
      <c r="N13" s="142" t="s">
        <v>195</v>
      </c>
      <c r="O13" s="142" t="s">
        <v>189</v>
      </c>
      <c r="P13" s="142" t="s">
        <v>196</v>
      </c>
      <c r="Q13" s="142" t="s">
        <v>181</v>
      </c>
      <c r="R13" s="142" t="s">
        <v>182</v>
      </c>
      <c r="S13" s="142"/>
      <c r="T13" s="142"/>
      <c r="U13" s="143" t="str">
        <f>CONCATENATE("Colonies of"," ",'Microbial Info'!$D13, " ","grown on LB Agar for 24-48 h are approximately", " ",K13," ","in diameter."," ","Cell shape is"," ",'Microbial Info'!$I13," ","and is"," ",'Microbial Info'!$V13,"."," ","Pigmentation is"," ",'Microbial Info'!$L13," ","and are"," ", 'Microbial Info'!$Q13,"."," ","Colonies are"," ",'Microbial Info'!$P13," ","and are"," ",'Microbial Info'!$M13," ","in form with"," ",'Microbial Info'!$O13," ","margin."," ","They have"," ",'Microbial Info'!$N13," ","elevation."," ","When manipulated with a needle, the colonies are"," ",'Microbial Info'!$R13,".")</f>
        <v>Colonies of  grown on LB Agar for 24-48 h are approximately  in diameter. Cell shape is rods and is gram-positive. Pigmentation is light pink and are opaque. Colonies are mucoid and wrinkly and are irregular in form with entire margin. They have flat elevation. When manipulated with a needle, the colonies are viscous.</v>
      </c>
      <c r="V13" s="144" t="s">
        <v>174</v>
      </c>
      <c r="W13" s="144" t="s">
        <v>170</v>
      </c>
      <c r="X13" s="144" t="s">
        <v>171</v>
      </c>
      <c r="Y13" s="144" t="s">
        <v>170</v>
      </c>
      <c r="Z13" s="144"/>
      <c r="AA13" s="144" t="s">
        <v>190</v>
      </c>
      <c r="AB13" s="144" t="s">
        <v>171</v>
      </c>
      <c r="AC13" s="144" t="s">
        <v>171</v>
      </c>
      <c r="AD13" s="144"/>
      <c r="AE13" s="144"/>
      <c r="AF13" s="144"/>
      <c r="AG13" s="144"/>
      <c r="AH13" s="144"/>
      <c r="AI13" s="144"/>
      <c r="AJ13" s="145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46"/>
      <c r="BJ13" s="146"/>
      <c r="BK13" s="146"/>
      <c r="BL13" s="146"/>
      <c r="BM13" s="146"/>
      <c r="BN13" s="146"/>
      <c r="BO13" s="146"/>
      <c r="BP13" s="146"/>
      <c r="BQ13" s="146"/>
      <c r="BR13" s="146"/>
      <c r="BS13" s="146"/>
      <c r="BT13" s="146"/>
      <c r="BU13" s="146"/>
      <c r="BV13" s="146"/>
      <c r="BW13" s="146"/>
      <c r="BX13" s="146"/>
      <c r="BY13" s="146"/>
      <c r="BZ13" s="146"/>
      <c r="CA13" s="146"/>
      <c r="CB13" s="146"/>
      <c r="CC13" s="146"/>
      <c r="CD13" s="146"/>
      <c r="CE13" s="146"/>
      <c r="CF13" s="146"/>
      <c r="CG13" s="146"/>
      <c r="CH13" s="146"/>
      <c r="CI13" s="146"/>
      <c r="CJ13" s="146"/>
      <c r="CK13" s="146"/>
      <c r="CL13" s="146"/>
      <c r="CM13" s="146"/>
      <c r="CN13" s="146"/>
      <c r="CO13" s="146"/>
      <c r="CP13" s="146"/>
      <c r="CQ13" s="146"/>
      <c r="CR13" s="146"/>
      <c r="CS13" s="146"/>
      <c r="CT13" s="146"/>
    </row>
    <row r="14" ht="14.25" customHeight="1">
      <c r="A14" s="135" t="s">
        <v>197</v>
      </c>
      <c r="B14" s="136" t="s">
        <v>159</v>
      </c>
      <c r="C14" s="137"/>
      <c r="D14" s="138"/>
      <c r="E14" s="139"/>
      <c r="F14" s="147"/>
      <c r="G14" s="147"/>
      <c r="H14" s="148"/>
      <c r="I14" s="141" t="s">
        <v>198</v>
      </c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3"/>
      <c r="V14" s="144" t="s">
        <v>174</v>
      </c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5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6"/>
      <c r="BF14" s="146"/>
      <c r="BG14" s="146"/>
      <c r="BH14" s="146"/>
      <c r="BI14" s="146"/>
      <c r="BJ14" s="146"/>
      <c r="BK14" s="146"/>
      <c r="BL14" s="146"/>
      <c r="BM14" s="146"/>
      <c r="BN14" s="146"/>
      <c r="BO14" s="146"/>
      <c r="BP14" s="146"/>
      <c r="BQ14" s="146"/>
      <c r="BR14" s="146"/>
      <c r="BS14" s="146"/>
      <c r="BT14" s="146"/>
      <c r="BU14" s="146"/>
      <c r="BV14" s="146"/>
      <c r="BW14" s="146"/>
      <c r="BX14" s="146"/>
      <c r="BY14" s="146"/>
      <c r="BZ14" s="146"/>
      <c r="CA14" s="146"/>
      <c r="CB14" s="146"/>
      <c r="CC14" s="146"/>
      <c r="CD14" s="146"/>
      <c r="CE14" s="146"/>
      <c r="CF14" s="146"/>
      <c r="CG14" s="146"/>
      <c r="CH14" s="146"/>
      <c r="CI14" s="146"/>
      <c r="CJ14" s="146"/>
      <c r="CK14" s="146"/>
      <c r="CL14" s="146"/>
      <c r="CM14" s="146"/>
      <c r="CN14" s="146"/>
      <c r="CO14" s="146"/>
      <c r="CP14" s="146"/>
      <c r="CQ14" s="146"/>
      <c r="CR14" s="146"/>
      <c r="CS14" s="146"/>
      <c r="CT14" s="146"/>
    </row>
    <row r="15" ht="14.25" customHeight="1">
      <c r="A15" s="135" t="s">
        <v>5</v>
      </c>
      <c r="B15" s="136" t="s">
        <v>159</v>
      </c>
      <c r="C15" s="137" t="s">
        <v>160</v>
      </c>
      <c r="D15" s="138" t="s">
        <v>199</v>
      </c>
      <c r="E15" s="139">
        <v>0.9516</v>
      </c>
      <c r="F15" s="139" t="s">
        <v>200</v>
      </c>
      <c r="G15" s="139"/>
      <c r="H15" s="140"/>
      <c r="I15" s="141" t="s">
        <v>198</v>
      </c>
      <c r="J15" s="142"/>
      <c r="K15" s="142"/>
      <c r="L15" s="142" t="s">
        <v>201</v>
      </c>
      <c r="M15" s="142" t="s">
        <v>187</v>
      </c>
      <c r="N15" s="142" t="s">
        <v>164</v>
      </c>
      <c r="O15" s="142" t="s">
        <v>189</v>
      </c>
      <c r="P15" s="142" t="s">
        <v>202</v>
      </c>
      <c r="Q15" s="142" t="s">
        <v>181</v>
      </c>
      <c r="R15" s="142" t="s">
        <v>168</v>
      </c>
      <c r="S15" s="142"/>
      <c r="T15" s="142"/>
      <c r="U15" s="143" t="str">
        <f>CONCATENATE("Colonies of"," ",'Microbial Info'!$D15, " ","grown on LB Agar for 24-48 h are approximately", " ",K15," ","in diameter."," ","Cell shape is"," ",'Microbial Info'!$I15," ","and is"," ",'Microbial Info'!$V15,"."," ","Pigmentation is"," ",'Microbial Info'!$L15," ","and are"," ", 'Microbial Info'!$Q15,"."," ","Colonies are"," ",'Microbial Info'!$P15," ","and are"," ",'Microbial Info'!$M15," ","in form with"," ",'Microbial Info'!$O15," ","margin."," ","They have"," ",'Microbial Info'!$N15," ","elevation."," ","When manipulated with a needle, the colonies are"," ",'Microbial Info'!$R15,".")</f>
        <v>Colonies of Bacillus cereus strain DZ102 grown on LB Agar for 24-48 h are approximately  in diameter. Cell shape is rod and is gram-positive. Pigmentation is white and are opaque. Colonies are mucoid and are circular in form with entire margin. They have convex elevation. When manipulated with a needle, the colonies are butyrous.</v>
      </c>
      <c r="V15" s="144" t="s">
        <v>174</v>
      </c>
      <c r="W15" s="144" t="s">
        <v>170</v>
      </c>
      <c r="X15" s="144" t="s">
        <v>171</v>
      </c>
      <c r="Y15" s="144" t="s">
        <v>170</v>
      </c>
      <c r="Z15" s="144" t="s">
        <v>171</v>
      </c>
      <c r="AA15" s="144" t="s">
        <v>172</v>
      </c>
      <c r="AB15" s="144" t="s">
        <v>171</v>
      </c>
      <c r="AC15" s="144" t="s">
        <v>171</v>
      </c>
      <c r="AD15" s="144"/>
      <c r="AE15" s="144"/>
      <c r="AF15" s="144"/>
      <c r="AG15" s="144"/>
      <c r="AH15" s="144"/>
      <c r="AI15" s="144"/>
      <c r="AJ15" s="149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1"/>
      <c r="BF15" s="146"/>
      <c r="BG15" s="146"/>
      <c r="BH15" s="146"/>
      <c r="BI15" s="146"/>
      <c r="BJ15" s="146"/>
      <c r="BK15" s="146"/>
      <c r="BL15" s="146"/>
      <c r="BM15" s="146"/>
      <c r="BN15" s="146"/>
      <c r="BO15" s="146"/>
      <c r="BP15" s="146"/>
      <c r="BQ15" s="146"/>
      <c r="BR15" s="146"/>
      <c r="BS15" s="146"/>
      <c r="BT15" s="146"/>
      <c r="BU15" s="146"/>
      <c r="BV15" s="146"/>
      <c r="BW15" s="146"/>
      <c r="BX15" s="146"/>
      <c r="BY15" s="146"/>
      <c r="BZ15" s="146"/>
      <c r="CA15" s="146"/>
      <c r="CB15" s="146"/>
      <c r="CC15" s="146"/>
      <c r="CD15" s="146"/>
      <c r="CE15" s="146"/>
      <c r="CF15" s="146"/>
      <c r="CG15" s="146"/>
      <c r="CH15" s="146"/>
      <c r="CI15" s="146"/>
      <c r="CJ15" s="146"/>
      <c r="CK15" s="146"/>
      <c r="CL15" s="146"/>
      <c r="CM15" s="146"/>
      <c r="CN15" s="146"/>
      <c r="CO15" s="146"/>
      <c r="CP15" s="146"/>
      <c r="CQ15" s="146"/>
      <c r="CR15" s="146"/>
      <c r="CS15" s="146"/>
      <c r="CT15" s="146"/>
    </row>
    <row r="16" ht="14.25" customHeight="1">
      <c r="A16" s="135" t="s">
        <v>203</v>
      </c>
      <c r="B16" s="136" t="s">
        <v>159</v>
      </c>
      <c r="C16" s="137"/>
      <c r="D16" s="138"/>
      <c r="E16" s="139" t="s">
        <v>192</v>
      </c>
      <c r="F16" s="147"/>
      <c r="G16" s="147"/>
      <c r="H16" s="148"/>
      <c r="I16" s="141" t="s">
        <v>161</v>
      </c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3"/>
      <c r="V16" s="144"/>
      <c r="W16" s="144" t="s">
        <v>171</v>
      </c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5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6"/>
      <c r="AW16" s="146"/>
      <c r="AX16" s="146"/>
      <c r="AY16" s="146"/>
      <c r="AZ16" s="146"/>
      <c r="BA16" s="146"/>
      <c r="BB16" s="146"/>
      <c r="BC16" s="146"/>
      <c r="BD16" s="146"/>
      <c r="BE16" s="146"/>
      <c r="BF16" s="146"/>
      <c r="BG16" s="146"/>
      <c r="BH16" s="146"/>
      <c r="BI16" s="146"/>
      <c r="BJ16" s="146"/>
      <c r="BK16" s="146"/>
      <c r="BL16" s="146"/>
      <c r="BM16" s="146"/>
      <c r="BN16" s="146"/>
      <c r="BO16" s="146"/>
      <c r="BP16" s="146"/>
      <c r="BQ16" s="146"/>
      <c r="BR16" s="146"/>
      <c r="BS16" s="146"/>
      <c r="BT16" s="146"/>
      <c r="BU16" s="146"/>
      <c r="BV16" s="146"/>
      <c r="BW16" s="146"/>
      <c r="BX16" s="146"/>
      <c r="BY16" s="146"/>
      <c r="BZ16" s="146"/>
      <c r="CA16" s="146"/>
      <c r="CB16" s="146"/>
      <c r="CC16" s="146"/>
      <c r="CD16" s="146"/>
      <c r="CE16" s="146"/>
      <c r="CF16" s="146"/>
      <c r="CG16" s="146"/>
      <c r="CH16" s="146"/>
      <c r="CI16" s="146"/>
      <c r="CJ16" s="146"/>
      <c r="CK16" s="146"/>
      <c r="CL16" s="146"/>
      <c r="CM16" s="146"/>
      <c r="CN16" s="146"/>
      <c r="CO16" s="146"/>
      <c r="CP16" s="146"/>
      <c r="CQ16" s="146"/>
      <c r="CR16" s="146"/>
      <c r="CS16" s="146"/>
      <c r="CT16" s="146"/>
    </row>
    <row r="17" ht="14.25" customHeight="1">
      <c r="A17" s="135" t="s">
        <v>204</v>
      </c>
      <c r="B17" s="136" t="s">
        <v>159</v>
      </c>
      <c r="C17" s="137"/>
      <c r="D17" s="138"/>
      <c r="E17" s="139"/>
      <c r="F17" s="147"/>
      <c r="G17" s="147"/>
      <c r="H17" s="148"/>
      <c r="I17" s="141" t="s">
        <v>205</v>
      </c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3"/>
      <c r="V17" s="144"/>
      <c r="W17" s="144" t="s">
        <v>170</v>
      </c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5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6"/>
      <c r="BF17" s="146"/>
      <c r="BG17" s="146"/>
      <c r="BH17" s="146"/>
      <c r="BI17" s="146"/>
      <c r="BJ17" s="146"/>
      <c r="BK17" s="146"/>
      <c r="BL17" s="146"/>
      <c r="BM17" s="146"/>
      <c r="BN17" s="146"/>
      <c r="BO17" s="146"/>
      <c r="BP17" s="146"/>
      <c r="BQ17" s="146"/>
      <c r="BR17" s="146"/>
      <c r="BS17" s="146"/>
      <c r="BT17" s="146"/>
      <c r="BU17" s="146"/>
      <c r="BV17" s="146"/>
      <c r="BW17" s="146"/>
      <c r="BX17" s="146"/>
      <c r="BY17" s="146"/>
      <c r="BZ17" s="146"/>
      <c r="CA17" s="146"/>
      <c r="CB17" s="146"/>
      <c r="CC17" s="146"/>
      <c r="CD17" s="146"/>
      <c r="CE17" s="146"/>
      <c r="CF17" s="146"/>
      <c r="CG17" s="146"/>
      <c r="CH17" s="146"/>
      <c r="CI17" s="146"/>
      <c r="CJ17" s="146"/>
      <c r="CK17" s="146"/>
      <c r="CL17" s="146"/>
      <c r="CM17" s="146"/>
      <c r="CN17" s="146"/>
      <c r="CO17" s="146"/>
      <c r="CP17" s="146"/>
      <c r="CQ17" s="146"/>
      <c r="CR17" s="146"/>
      <c r="CS17" s="146"/>
      <c r="CT17" s="146"/>
    </row>
    <row r="18" ht="14.25" customHeight="1">
      <c r="A18" s="135" t="s">
        <v>206</v>
      </c>
      <c r="B18" s="136" t="s">
        <v>159</v>
      </c>
      <c r="C18" s="137" t="s">
        <v>160</v>
      </c>
      <c r="D18" s="138"/>
      <c r="E18" s="139"/>
      <c r="F18" s="139"/>
      <c r="G18" s="139"/>
      <c r="H18" s="140"/>
      <c r="I18" s="141" t="s">
        <v>205</v>
      </c>
      <c r="J18" s="142"/>
      <c r="K18" s="142"/>
      <c r="L18" s="142" t="s">
        <v>201</v>
      </c>
      <c r="M18" s="142" t="s">
        <v>180</v>
      </c>
      <c r="N18" s="142" t="s">
        <v>195</v>
      </c>
      <c r="O18" s="142" t="s">
        <v>165</v>
      </c>
      <c r="P18" s="142" t="s">
        <v>207</v>
      </c>
      <c r="Q18" s="142" t="s">
        <v>167</v>
      </c>
      <c r="R18" s="142" t="s">
        <v>168</v>
      </c>
      <c r="S18" s="142"/>
      <c r="T18" s="142"/>
      <c r="U18" s="143" t="str">
        <f>CONCATENATE("Colonies of"," ",'Microbial Info'!$D18, " ","grown on LB Agar for 24-48 h are approximately", " ",K18," ","in diameter."," ","Cell shape is"," ",'Microbial Info'!$I18," ","and is"," ",'Microbial Info'!$V18,"."," ","Pigmentation is"," ",'Microbial Info'!$L18," ","and are"," ", 'Microbial Info'!$Q18,"."," ","Colonies are"," ",'Microbial Info'!$P18," ","and are"," ",'Microbial Info'!$M18," ","in form with"," ",'Microbial Info'!$O18," ","margin."," ","They have"," ",'Microbial Info'!$N18," ","elevation."," ","When manipulated with a needle, the colonies are"," ",'Microbial Info'!$R18,".")</f>
        <v>Colonies of  grown on LB Agar for 24-48 h are approximately  in diameter. Cell shape is coccobacilli and is gram-positive. Pigmentation is white and are translucent. Colonies are dull and matte and are irregular in form with undulate margin. They have flat elevation. When manipulated with a needle, the colonies are butyrous.</v>
      </c>
      <c r="V18" s="144" t="s">
        <v>174</v>
      </c>
      <c r="W18" s="144" t="s">
        <v>170</v>
      </c>
      <c r="X18" s="144" t="s">
        <v>170</v>
      </c>
      <c r="Y18" s="144" t="s">
        <v>170</v>
      </c>
      <c r="Z18" s="144"/>
      <c r="AA18" s="144" t="s">
        <v>190</v>
      </c>
      <c r="AB18" s="144" t="s">
        <v>171</v>
      </c>
      <c r="AC18" s="144" t="s">
        <v>171</v>
      </c>
      <c r="AD18" s="144"/>
      <c r="AE18" s="144"/>
      <c r="AF18" s="144"/>
      <c r="AG18" s="144"/>
      <c r="AH18" s="144"/>
      <c r="AI18" s="144"/>
      <c r="AJ18" s="145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</row>
    <row r="19" ht="14.25" customHeight="1">
      <c r="A19" s="135" t="s">
        <v>208</v>
      </c>
      <c r="B19" s="136" t="s">
        <v>159</v>
      </c>
      <c r="C19" s="137" t="s">
        <v>209</v>
      </c>
      <c r="D19" s="138"/>
      <c r="E19" s="139"/>
      <c r="F19" s="139"/>
      <c r="G19" s="139"/>
      <c r="H19" s="140"/>
      <c r="I19" s="141" t="s">
        <v>205</v>
      </c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3"/>
      <c r="V19" s="144" t="s">
        <v>174</v>
      </c>
      <c r="W19" s="144" t="s">
        <v>171</v>
      </c>
      <c r="X19" s="144" t="s">
        <v>170</v>
      </c>
      <c r="Y19" s="144" t="s">
        <v>170</v>
      </c>
      <c r="Z19" s="144"/>
      <c r="AA19" s="144" t="s">
        <v>190</v>
      </c>
      <c r="AB19" s="144" t="s">
        <v>171</v>
      </c>
      <c r="AC19" s="144" t="s">
        <v>171</v>
      </c>
      <c r="AD19" s="144"/>
      <c r="AE19" s="144"/>
      <c r="AF19" s="144"/>
      <c r="AG19" s="144"/>
      <c r="AH19" s="144"/>
      <c r="AI19" s="144"/>
      <c r="AJ19" s="145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46"/>
      <c r="BJ19" s="146"/>
      <c r="BK19" s="146"/>
      <c r="BL19" s="146"/>
      <c r="BM19" s="146"/>
      <c r="BN19" s="146"/>
      <c r="BO19" s="146"/>
      <c r="BP19" s="146"/>
      <c r="BQ19" s="146"/>
      <c r="BR19" s="146"/>
      <c r="BS19" s="146"/>
      <c r="BT19" s="146"/>
      <c r="BU19" s="146"/>
      <c r="BV19" s="146"/>
      <c r="BW19" s="146"/>
      <c r="BX19" s="146"/>
      <c r="BY19" s="146"/>
      <c r="BZ19" s="146"/>
      <c r="CA19" s="146"/>
      <c r="CB19" s="146"/>
      <c r="CC19" s="146"/>
      <c r="CD19" s="146"/>
      <c r="CE19" s="146"/>
      <c r="CF19" s="146"/>
      <c r="CG19" s="146"/>
      <c r="CH19" s="146"/>
      <c r="CI19" s="146"/>
      <c r="CJ19" s="146"/>
      <c r="CK19" s="146"/>
      <c r="CL19" s="146"/>
      <c r="CM19" s="146"/>
      <c r="CN19" s="146"/>
      <c r="CO19" s="146"/>
      <c r="CP19" s="146"/>
      <c r="CQ19" s="146"/>
      <c r="CR19" s="146"/>
      <c r="CS19" s="146"/>
      <c r="CT19" s="146"/>
    </row>
    <row r="20" ht="14.25" customHeight="1">
      <c r="A20" s="135" t="s">
        <v>210</v>
      </c>
      <c r="B20" s="136" t="s">
        <v>159</v>
      </c>
      <c r="C20" s="137"/>
      <c r="D20" s="138"/>
      <c r="E20" s="139"/>
      <c r="F20" s="147"/>
      <c r="G20" s="147"/>
      <c r="H20" s="148"/>
      <c r="I20" s="141" t="s">
        <v>161</v>
      </c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3"/>
      <c r="V20" s="144"/>
      <c r="W20" s="144" t="s">
        <v>171</v>
      </c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5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  <c r="BE20" s="146"/>
      <c r="BF20" s="146"/>
      <c r="BG20" s="146"/>
      <c r="BH20" s="146"/>
      <c r="BI20" s="146"/>
      <c r="BJ20" s="146"/>
      <c r="BK20" s="146"/>
      <c r="BL20" s="146"/>
      <c r="BM20" s="146"/>
      <c r="BN20" s="146"/>
      <c r="BO20" s="146"/>
      <c r="BP20" s="146"/>
      <c r="BQ20" s="146"/>
      <c r="BR20" s="146"/>
      <c r="BS20" s="146"/>
      <c r="BT20" s="146"/>
      <c r="BU20" s="146"/>
      <c r="BV20" s="146"/>
      <c r="BW20" s="146"/>
      <c r="BX20" s="146"/>
      <c r="BY20" s="146"/>
      <c r="BZ20" s="146"/>
      <c r="CA20" s="146"/>
      <c r="CB20" s="146"/>
      <c r="CC20" s="146"/>
      <c r="CD20" s="146"/>
      <c r="CE20" s="146"/>
      <c r="CF20" s="146"/>
      <c r="CG20" s="146"/>
      <c r="CH20" s="146"/>
      <c r="CI20" s="146"/>
      <c r="CJ20" s="146"/>
      <c r="CK20" s="146"/>
      <c r="CL20" s="146"/>
      <c r="CM20" s="146"/>
      <c r="CN20" s="146"/>
      <c r="CO20" s="146"/>
      <c r="CP20" s="146"/>
      <c r="CQ20" s="146"/>
      <c r="CR20" s="146"/>
      <c r="CS20" s="146"/>
      <c r="CT20" s="146"/>
    </row>
    <row r="21" ht="14.25" customHeight="1">
      <c r="A21" s="135" t="s">
        <v>211</v>
      </c>
      <c r="B21" s="136" t="s">
        <v>159</v>
      </c>
      <c r="C21" s="137"/>
      <c r="D21" s="138"/>
      <c r="E21" s="139" t="str">
        <f t="shared" ref="E21:E22" si="1">RIGHT(D21,6)</f>
        <v/>
      </c>
      <c r="F21" s="147"/>
      <c r="G21" s="147"/>
      <c r="H21" s="148"/>
      <c r="I21" s="141" t="s">
        <v>161</v>
      </c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3"/>
      <c r="V21" s="144"/>
      <c r="W21" s="144" t="s">
        <v>171</v>
      </c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5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6"/>
      <c r="AW21" s="146"/>
      <c r="AX21" s="146"/>
      <c r="AY21" s="146"/>
      <c r="AZ21" s="146"/>
      <c r="BA21" s="146"/>
      <c r="BB21" s="146"/>
      <c r="BC21" s="146"/>
      <c r="BD21" s="146"/>
      <c r="BE21" s="146"/>
      <c r="BF21" s="146"/>
      <c r="BG21" s="146"/>
      <c r="BH21" s="146"/>
      <c r="BI21" s="146"/>
      <c r="BJ21" s="146"/>
      <c r="BK21" s="146"/>
      <c r="BL21" s="146"/>
      <c r="BM21" s="146"/>
      <c r="BN21" s="146"/>
      <c r="BO21" s="146"/>
      <c r="BP21" s="146"/>
      <c r="BQ21" s="146"/>
      <c r="BR21" s="146"/>
      <c r="BS21" s="146"/>
      <c r="BT21" s="146"/>
      <c r="BU21" s="146"/>
      <c r="BV21" s="146"/>
      <c r="BW21" s="146"/>
      <c r="BX21" s="146"/>
      <c r="BY21" s="146"/>
      <c r="BZ21" s="146"/>
      <c r="CA21" s="146"/>
      <c r="CB21" s="146"/>
      <c r="CC21" s="146"/>
      <c r="CD21" s="146"/>
      <c r="CE21" s="146"/>
      <c r="CF21" s="146"/>
      <c r="CG21" s="146"/>
      <c r="CH21" s="146"/>
      <c r="CI21" s="146"/>
      <c r="CJ21" s="146"/>
      <c r="CK21" s="146"/>
      <c r="CL21" s="146"/>
      <c r="CM21" s="146"/>
      <c r="CN21" s="146"/>
      <c r="CO21" s="146"/>
      <c r="CP21" s="146"/>
      <c r="CQ21" s="146"/>
      <c r="CR21" s="146"/>
      <c r="CS21" s="146"/>
      <c r="CT21" s="146"/>
    </row>
    <row r="22" ht="14.25" customHeight="1">
      <c r="A22" s="135" t="s">
        <v>212</v>
      </c>
      <c r="B22" s="136" t="s">
        <v>159</v>
      </c>
      <c r="C22" s="137"/>
      <c r="D22" s="138"/>
      <c r="E22" s="139" t="str">
        <f t="shared" si="1"/>
        <v/>
      </c>
      <c r="F22" s="147"/>
      <c r="G22" s="147"/>
      <c r="H22" s="148"/>
      <c r="I22" s="141" t="s">
        <v>205</v>
      </c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3"/>
      <c r="V22" s="144"/>
      <c r="W22" s="144" t="s">
        <v>170</v>
      </c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5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  <c r="BD22" s="146"/>
      <c r="BE22" s="146"/>
      <c r="BF22" s="146"/>
      <c r="BG22" s="146"/>
      <c r="BH22" s="146"/>
      <c r="BI22" s="146"/>
      <c r="BJ22" s="146"/>
      <c r="BK22" s="146"/>
      <c r="BL22" s="146"/>
      <c r="BM22" s="146"/>
      <c r="BN22" s="146"/>
      <c r="BO22" s="146"/>
      <c r="BP22" s="146"/>
      <c r="BQ22" s="146"/>
      <c r="BR22" s="146"/>
      <c r="BS22" s="146"/>
      <c r="BT22" s="146"/>
      <c r="BU22" s="146"/>
      <c r="BV22" s="146"/>
      <c r="BW22" s="146"/>
      <c r="BX22" s="146"/>
      <c r="BY22" s="146"/>
      <c r="BZ22" s="146"/>
      <c r="CA22" s="146"/>
      <c r="CB22" s="146"/>
      <c r="CC22" s="146"/>
      <c r="CD22" s="146"/>
      <c r="CE22" s="146"/>
      <c r="CF22" s="146"/>
      <c r="CG22" s="146"/>
      <c r="CH22" s="146"/>
      <c r="CI22" s="146"/>
      <c r="CJ22" s="146"/>
      <c r="CK22" s="146"/>
      <c r="CL22" s="146"/>
      <c r="CM22" s="146"/>
      <c r="CN22" s="146"/>
      <c r="CO22" s="146"/>
      <c r="CP22" s="146"/>
      <c r="CQ22" s="146"/>
      <c r="CR22" s="146"/>
      <c r="CS22" s="146"/>
      <c r="CT22" s="146"/>
    </row>
    <row r="23" ht="14.25" customHeight="1">
      <c r="A23" s="135" t="s">
        <v>213</v>
      </c>
      <c r="B23" s="152" t="s">
        <v>214</v>
      </c>
      <c r="C23" s="137" t="s">
        <v>209</v>
      </c>
      <c r="D23" s="138" t="s">
        <v>215</v>
      </c>
      <c r="E23" s="153" t="s">
        <v>216</v>
      </c>
      <c r="F23" s="147"/>
      <c r="G23" s="147"/>
      <c r="H23" s="148"/>
      <c r="I23" s="141" t="s">
        <v>198</v>
      </c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3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5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</row>
    <row r="24" ht="14.25" customHeight="1">
      <c r="A24" s="135" t="s">
        <v>217</v>
      </c>
      <c r="B24" s="152" t="s">
        <v>214</v>
      </c>
      <c r="C24" s="137" t="s">
        <v>218</v>
      </c>
      <c r="D24" s="138" t="s">
        <v>219</v>
      </c>
      <c r="E24" s="153" t="s">
        <v>216</v>
      </c>
      <c r="F24" s="147"/>
      <c r="G24" s="147"/>
      <c r="H24" s="148"/>
      <c r="I24" s="141" t="s">
        <v>220</v>
      </c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3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5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  <c r="BF24" s="146"/>
      <c r="BG24" s="146"/>
      <c r="BH24" s="146"/>
      <c r="BI24" s="146"/>
      <c r="BJ24" s="146"/>
      <c r="BK24" s="146"/>
      <c r="BL24" s="146"/>
      <c r="BM24" s="146"/>
      <c r="BN24" s="146"/>
      <c r="BO24" s="146"/>
      <c r="BP24" s="146"/>
      <c r="BQ24" s="146"/>
      <c r="BR24" s="146"/>
      <c r="BS24" s="146"/>
      <c r="BT24" s="146"/>
      <c r="BU24" s="146"/>
      <c r="BV24" s="146"/>
      <c r="BW24" s="146"/>
      <c r="BX24" s="146"/>
      <c r="BY24" s="146"/>
      <c r="BZ24" s="146"/>
      <c r="CA24" s="146"/>
      <c r="CB24" s="146"/>
      <c r="CC24" s="146"/>
      <c r="CD24" s="146"/>
      <c r="CE24" s="146"/>
      <c r="CF24" s="146"/>
      <c r="CG24" s="146"/>
      <c r="CH24" s="146"/>
      <c r="CI24" s="146"/>
      <c r="CJ24" s="146"/>
      <c r="CK24" s="146"/>
      <c r="CL24" s="146"/>
      <c r="CM24" s="146"/>
      <c r="CN24" s="146"/>
      <c r="CO24" s="146"/>
      <c r="CP24" s="146"/>
      <c r="CQ24" s="146"/>
      <c r="CR24" s="146"/>
      <c r="CS24" s="146"/>
      <c r="CT24" s="146"/>
    </row>
    <row r="25" ht="14.25" customHeight="1">
      <c r="A25" s="135" t="s">
        <v>221</v>
      </c>
      <c r="B25" s="152" t="s">
        <v>214</v>
      </c>
      <c r="C25" s="137" t="s">
        <v>218</v>
      </c>
      <c r="D25" s="138" t="s">
        <v>222</v>
      </c>
      <c r="E25" s="153" t="s">
        <v>216</v>
      </c>
      <c r="F25" s="147"/>
      <c r="G25" s="147"/>
      <c r="H25" s="148"/>
      <c r="I25" s="141" t="s">
        <v>223</v>
      </c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3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5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  <c r="BF25" s="146"/>
      <c r="BG25" s="146"/>
      <c r="BH25" s="146"/>
      <c r="BI25" s="146"/>
      <c r="BJ25" s="146"/>
      <c r="BK25" s="146"/>
      <c r="BL25" s="146"/>
      <c r="BM25" s="146"/>
      <c r="BN25" s="146"/>
      <c r="BO25" s="146"/>
      <c r="BP25" s="146"/>
      <c r="BQ25" s="146"/>
      <c r="BR25" s="146"/>
      <c r="BS25" s="146"/>
      <c r="BT25" s="146"/>
      <c r="BU25" s="146"/>
      <c r="BV25" s="146"/>
      <c r="BW25" s="146"/>
      <c r="BX25" s="146"/>
      <c r="BY25" s="146"/>
      <c r="BZ25" s="146"/>
      <c r="CA25" s="146"/>
      <c r="CB25" s="146"/>
      <c r="CC25" s="146"/>
      <c r="CD25" s="146"/>
      <c r="CE25" s="146"/>
      <c r="CF25" s="146"/>
      <c r="CG25" s="146"/>
      <c r="CH25" s="146"/>
      <c r="CI25" s="146"/>
      <c r="CJ25" s="146"/>
      <c r="CK25" s="146"/>
      <c r="CL25" s="146"/>
      <c r="CM25" s="146"/>
      <c r="CN25" s="146"/>
      <c r="CO25" s="146"/>
      <c r="CP25" s="146"/>
      <c r="CQ25" s="146"/>
      <c r="CR25" s="146"/>
      <c r="CS25" s="146"/>
      <c r="CT25" s="146"/>
    </row>
    <row r="26" ht="14.25" customHeight="1">
      <c r="A26" s="135" t="s">
        <v>224</v>
      </c>
      <c r="B26" s="152" t="s">
        <v>214</v>
      </c>
      <c r="C26" s="137" t="s">
        <v>209</v>
      </c>
      <c r="D26" s="138" t="s">
        <v>225</v>
      </c>
      <c r="E26" s="153" t="s">
        <v>216</v>
      </c>
      <c r="F26" s="147"/>
      <c r="G26" s="147"/>
      <c r="H26" s="148"/>
      <c r="I26" s="141" t="s">
        <v>198</v>
      </c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3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5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6"/>
      <c r="BM26" s="146"/>
      <c r="BN26" s="146"/>
      <c r="BO26" s="146"/>
      <c r="BP26" s="146"/>
      <c r="BQ26" s="146"/>
      <c r="BR26" s="146"/>
      <c r="BS26" s="146"/>
      <c r="BT26" s="146"/>
      <c r="BU26" s="146"/>
      <c r="BV26" s="146"/>
      <c r="BW26" s="146"/>
      <c r="BX26" s="146"/>
      <c r="BY26" s="146"/>
      <c r="BZ26" s="146"/>
      <c r="CA26" s="146"/>
      <c r="CB26" s="146"/>
      <c r="CC26" s="146"/>
      <c r="CD26" s="146"/>
      <c r="CE26" s="146"/>
      <c r="CF26" s="146"/>
      <c r="CG26" s="146"/>
      <c r="CH26" s="146"/>
      <c r="CI26" s="146"/>
      <c r="CJ26" s="146"/>
      <c r="CK26" s="146"/>
      <c r="CL26" s="146"/>
      <c r="CM26" s="146"/>
      <c r="CN26" s="146"/>
      <c r="CO26" s="146"/>
      <c r="CP26" s="146"/>
      <c r="CQ26" s="146"/>
      <c r="CR26" s="146"/>
      <c r="CS26" s="146"/>
      <c r="CT26" s="146"/>
    </row>
    <row r="27" ht="14.25" customHeight="1">
      <c r="A27" s="135" t="s">
        <v>226</v>
      </c>
      <c r="B27" s="152" t="s">
        <v>214</v>
      </c>
      <c r="C27" s="137" t="s">
        <v>160</v>
      </c>
      <c r="D27" s="138" t="s">
        <v>227</v>
      </c>
      <c r="E27" s="153" t="s">
        <v>216</v>
      </c>
      <c r="F27" s="147"/>
      <c r="G27" s="147"/>
      <c r="H27" s="148"/>
      <c r="I27" s="141" t="s">
        <v>198</v>
      </c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3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5"/>
      <c r="AK27" s="146"/>
      <c r="AL27" s="154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146"/>
      <c r="BJ27" s="146"/>
      <c r="BK27" s="146"/>
      <c r="BL27" s="146"/>
      <c r="BM27" s="146"/>
      <c r="BN27" s="146"/>
      <c r="BO27" s="146"/>
      <c r="BP27" s="146"/>
      <c r="BQ27" s="146"/>
      <c r="BR27" s="146"/>
      <c r="BS27" s="146"/>
      <c r="BT27" s="146"/>
      <c r="BU27" s="146"/>
      <c r="BV27" s="146"/>
      <c r="BW27" s="146"/>
      <c r="BX27" s="146"/>
      <c r="BY27" s="146"/>
      <c r="BZ27" s="146"/>
      <c r="CA27" s="146"/>
      <c r="CB27" s="146"/>
      <c r="CC27" s="146"/>
      <c r="CD27" s="146"/>
      <c r="CE27" s="146"/>
      <c r="CF27" s="146"/>
      <c r="CG27" s="146"/>
      <c r="CH27" s="146"/>
      <c r="CI27" s="146"/>
      <c r="CJ27" s="146"/>
      <c r="CK27" s="146"/>
      <c r="CL27" s="146"/>
      <c r="CM27" s="146"/>
      <c r="CN27" s="146"/>
      <c r="CO27" s="146"/>
      <c r="CP27" s="146"/>
      <c r="CQ27" s="146"/>
      <c r="CR27" s="146"/>
      <c r="CS27" s="146"/>
      <c r="CT27" s="146"/>
    </row>
    <row r="28" ht="14.25" customHeight="1">
      <c r="A28" s="135" t="s">
        <v>228</v>
      </c>
      <c r="B28" s="152" t="s">
        <v>214</v>
      </c>
      <c r="C28" s="137" t="s">
        <v>160</v>
      </c>
      <c r="D28" s="138" t="s">
        <v>229</v>
      </c>
      <c r="E28" s="153" t="s">
        <v>216</v>
      </c>
      <c r="F28" s="147"/>
      <c r="G28" s="147"/>
      <c r="H28" s="148"/>
      <c r="I28" s="141" t="s">
        <v>198</v>
      </c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3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5"/>
      <c r="AK28" s="146"/>
      <c r="AL28" s="154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46"/>
      <c r="CQ28" s="146"/>
      <c r="CR28" s="146"/>
      <c r="CS28" s="146"/>
      <c r="CT28" s="146"/>
    </row>
    <row r="29" ht="14.25" customHeight="1">
      <c r="A29" s="135" t="s">
        <v>230</v>
      </c>
      <c r="B29" s="152" t="s">
        <v>214</v>
      </c>
      <c r="C29" s="137" t="s">
        <v>160</v>
      </c>
      <c r="D29" s="138" t="s">
        <v>231</v>
      </c>
      <c r="E29" s="153" t="s">
        <v>216</v>
      </c>
      <c r="F29" s="147"/>
      <c r="G29" s="147"/>
      <c r="H29" s="148"/>
      <c r="I29" s="141" t="s">
        <v>198</v>
      </c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3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5"/>
      <c r="AK29" s="146"/>
      <c r="AL29" s="154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6"/>
      <c r="BF29" s="146"/>
      <c r="BG29" s="146"/>
      <c r="BH29" s="146"/>
      <c r="BI29" s="146"/>
      <c r="BJ29" s="146"/>
      <c r="BK29" s="146"/>
      <c r="BL29" s="146"/>
      <c r="BM29" s="146"/>
      <c r="BN29" s="146"/>
      <c r="BO29" s="146"/>
      <c r="BP29" s="146"/>
      <c r="BQ29" s="146"/>
      <c r="BR29" s="146"/>
      <c r="BS29" s="146"/>
      <c r="BT29" s="146"/>
      <c r="BU29" s="146"/>
      <c r="BV29" s="146"/>
      <c r="BW29" s="146"/>
      <c r="BX29" s="146"/>
      <c r="BY29" s="146"/>
      <c r="BZ29" s="146"/>
      <c r="CA29" s="146"/>
      <c r="CB29" s="146"/>
      <c r="CC29" s="146"/>
      <c r="CD29" s="146"/>
      <c r="CE29" s="146"/>
      <c r="CF29" s="146"/>
      <c r="CG29" s="146"/>
      <c r="CH29" s="146"/>
      <c r="CI29" s="146"/>
      <c r="CJ29" s="146"/>
      <c r="CK29" s="146"/>
      <c r="CL29" s="146"/>
      <c r="CM29" s="146"/>
      <c r="CN29" s="146"/>
      <c r="CO29" s="146"/>
      <c r="CP29" s="146"/>
      <c r="CQ29" s="146"/>
      <c r="CR29" s="146"/>
      <c r="CS29" s="146"/>
      <c r="CT29" s="146"/>
    </row>
    <row r="30" ht="14.25" customHeight="1">
      <c r="A30" s="135" t="s">
        <v>232</v>
      </c>
      <c r="B30" s="152" t="s">
        <v>214</v>
      </c>
      <c r="C30" s="137" t="s">
        <v>218</v>
      </c>
      <c r="D30" s="138" t="s">
        <v>233</v>
      </c>
      <c r="E30" s="153" t="s">
        <v>216</v>
      </c>
      <c r="F30" s="147"/>
      <c r="G30" s="147"/>
      <c r="H30" s="148"/>
      <c r="I30" s="141" t="s">
        <v>205</v>
      </c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3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5"/>
      <c r="AK30" s="146"/>
      <c r="AL30" s="154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  <c r="CQ30" s="146"/>
      <c r="CR30" s="146"/>
      <c r="CS30" s="146"/>
      <c r="CT30" s="146"/>
    </row>
    <row r="31" ht="14.25" customHeight="1">
      <c r="A31" s="135" t="s">
        <v>234</v>
      </c>
      <c r="B31" s="152" t="s">
        <v>214</v>
      </c>
      <c r="C31" s="137" t="s">
        <v>218</v>
      </c>
      <c r="D31" s="138" t="s">
        <v>235</v>
      </c>
      <c r="E31" s="153" t="s">
        <v>216</v>
      </c>
      <c r="F31" s="147"/>
      <c r="G31" s="147"/>
      <c r="H31" s="148"/>
      <c r="I31" s="141" t="s">
        <v>205</v>
      </c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3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5"/>
      <c r="AK31" s="146"/>
      <c r="AL31" s="154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  <c r="BM31" s="146"/>
      <c r="BN31" s="146"/>
      <c r="BO31" s="146"/>
      <c r="BP31" s="146"/>
      <c r="BQ31" s="146"/>
      <c r="BR31" s="146"/>
      <c r="BS31" s="146"/>
      <c r="BT31" s="146"/>
      <c r="BU31" s="146"/>
      <c r="BV31" s="146"/>
      <c r="BW31" s="146"/>
      <c r="BX31" s="146"/>
      <c r="BY31" s="146"/>
      <c r="BZ31" s="146"/>
      <c r="CA31" s="146"/>
      <c r="CB31" s="146"/>
      <c r="CC31" s="146"/>
      <c r="CD31" s="146"/>
      <c r="CE31" s="146"/>
      <c r="CF31" s="146"/>
      <c r="CG31" s="146"/>
      <c r="CH31" s="146"/>
      <c r="CI31" s="146"/>
      <c r="CJ31" s="146"/>
      <c r="CK31" s="146"/>
      <c r="CL31" s="146"/>
      <c r="CM31" s="146"/>
      <c r="CN31" s="146"/>
      <c r="CO31" s="146"/>
      <c r="CP31" s="146"/>
      <c r="CQ31" s="146"/>
      <c r="CR31" s="146"/>
      <c r="CS31" s="146"/>
      <c r="CT31" s="146"/>
    </row>
    <row r="32" ht="14.25" customHeight="1">
      <c r="A32" s="135" t="s">
        <v>236</v>
      </c>
      <c r="B32" s="152" t="s">
        <v>214</v>
      </c>
      <c r="C32" s="137" t="s">
        <v>218</v>
      </c>
      <c r="D32" s="138" t="s">
        <v>237</v>
      </c>
      <c r="E32" s="153" t="s">
        <v>216</v>
      </c>
      <c r="F32" s="147"/>
      <c r="G32" s="147"/>
      <c r="H32" s="148"/>
      <c r="I32" s="141" t="s">
        <v>205</v>
      </c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3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5"/>
      <c r="AK32" s="146"/>
      <c r="AL32" s="154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146"/>
      <c r="BH32" s="146"/>
      <c r="BI32" s="146"/>
      <c r="BJ32" s="146"/>
      <c r="BK32" s="146"/>
      <c r="BL32" s="146"/>
      <c r="BM32" s="146"/>
      <c r="BN32" s="146"/>
      <c r="BO32" s="146"/>
      <c r="BP32" s="146"/>
      <c r="BQ32" s="146"/>
      <c r="BR32" s="146"/>
      <c r="BS32" s="146"/>
      <c r="BT32" s="146"/>
      <c r="BU32" s="146"/>
      <c r="BV32" s="146"/>
      <c r="BW32" s="146"/>
      <c r="BX32" s="146"/>
      <c r="BY32" s="146"/>
      <c r="BZ32" s="146"/>
      <c r="CA32" s="146"/>
      <c r="CB32" s="146"/>
      <c r="CC32" s="146"/>
      <c r="CD32" s="146"/>
      <c r="CE32" s="146"/>
      <c r="CF32" s="146"/>
      <c r="CG32" s="146"/>
      <c r="CH32" s="146"/>
      <c r="CI32" s="146"/>
      <c r="CJ32" s="146"/>
      <c r="CK32" s="146"/>
      <c r="CL32" s="146"/>
      <c r="CM32" s="146"/>
      <c r="CN32" s="146"/>
      <c r="CO32" s="146"/>
      <c r="CP32" s="146"/>
      <c r="CQ32" s="146"/>
      <c r="CR32" s="146"/>
      <c r="CS32" s="146"/>
      <c r="CT32" s="146"/>
    </row>
    <row r="33" ht="14.25" customHeight="1">
      <c r="A33" s="135" t="s">
        <v>238</v>
      </c>
      <c r="B33" s="152" t="s">
        <v>214</v>
      </c>
      <c r="C33" s="137" t="s">
        <v>160</v>
      </c>
      <c r="D33" s="138" t="s">
        <v>239</v>
      </c>
      <c r="E33" s="153" t="s">
        <v>216</v>
      </c>
      <c r="F33" s="147"/>
      <c r="G33" s="147"/>
      <c r="H33" s="148"/>
      <c r="I33" s="141" t="s">
        <v>205</v>
      </c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3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5"/>
      <c r="AK33" s="146"/>
      <c r="AL33" s="154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  <c r="BP33" s="146"/>
      <c r="BQ33" s="146"/>
      <c r="BR33" s="146"/>
      <c r="BS33" s="146"/>
      <c r="BT33" s="146"/>
      <c r="BU33" s="146"/>
      <c r="BV33" s="146"/>
      <c r="BW33" s="146"/>
      <c r="BX33" s="146"/>
      <c r="BY33" s="146"/>
      <c r="BZ33" s="146"/>
      <c r="CA33" s="146"/>
      <c r="CB33" s="146"/>
      <c r="CC33" s="146"/>
      <c r="CD33" s="146"/>
      <c r="CE33" s="146"/>
      <c r="CF33" s="146"/>
      <c r="CG33" s="146"/>
      <c r="CH33" s="146"/>
      <c r="CI33" s="146"/>
      <c r="CJ33" s="146"/>
      <c r="CK33" s="146"/>
      <c r="CL33" s="146"/>
      <c r="CM33" s="146"/>
      <c r="CN33" s="146"/>
      <c r="CO33" s="146"/>
      <c r="CP33" s="146"/>
      <c r="CQ33" s="146"/>
      <c r="CR33" s="146"/>
      <c r="CS33" s="146"/>
      <c r="CT33" s="146"/>
    </row>
    <row r="34" ht="14.25" customHeight="1">
      <c r="A34" s="135" t="s">
        <v>240</v>
      </c>
      <c r="B34" s="152" t="s">
        <v>214</v>
      </c>
      <c r="C34" s="137" t="s">
        <v>218</v>
      </c>
      <c r="D34" s="138" t="s">
        <v>241</v>
      </c>
      <c r="E34" s="153" t="s">
        <v>216</v>
      </c>
      <c r="F34" s="147"/>
      <c r="G34" s="147"/>
      <c r="H34" s="148"/>
      <c r="I34" s="141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3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5"/>
      <c r="AK34" s="146"/>
      <c r="AL34" s="154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6"/>
      <c r="BM34" s="146"/>
      <c r="BN34" s="146"/>
      <c r="BO34" s="146"/>
      <c r="BP34" s="146"/>
      <c r="BQ34" s="146"/>
      <c r="BR34" s="146"/>
      <c r="BS34" s="146"/>
      <c r="BT34" s="146"/>
      <c r="BU34" s="146"/>
      <c r="BV34" s="146"/>
      <c r="BW34" s="146"/>
      <c r="BX34" s="146"/>
      <c r="BY34" s="146"/>
      <c r="BZ34" s="146"/>
      <c r="CA34" s="146"/>
      <c r="CB34" s="146"/>
      <c r="CC34" s="146"/>
      <c r="CD34" s="146"/>
      <c r="CE34" s="146"/>
      <c r="CF34" s="146"/>
      <c r="CG34" s="146"/>
      <c r="CH34" s="146"/>
      <c r="CI34" s="146"/>
      <c r="CJ34" s="146"/>
      <c r="CK34" s="146"/>
      <c r="CL34" s="146"/>
      <c r="CM34" s="146"/>
      <c r="CN34" s="146"/>
      <c r="CO34" s="146"/>
      <c r="CP34" s="146"/>
      <c r="CQ34" s="146"/>
      <c r="CR34" s="146"/>
      <c r="CS34" s="146"/>
      <c r="CT34" s="146"/>
    </row>
    <row r="35" ht="14.25" customHeight="1">
      <c r="A35" s="135" t="s">
        <v>242</v>
      </c>
      <c r="B35" s="152" t="s">
        <v>214</v>
      </c>
      <c r="C35" s="137" t="s">
        <v>209</v>
      </c>
      <c r="D35" s="138" t="s">
        <v>243</v>
      </c>
      <c r="E35" s="153" t="s">
        <v>216</v>
      </c>
      <c r="F35" s="147"/>
      <c r="G35" s="147"/>
      <c r="H35" s="148"/>
      <c r="I35" s="141" t="s">
        <v>198</v>
      </c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3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5"/>
      <c r="AK35" s="146"/>
      <c r="AL35" s="154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6"/>
      <c r="BO35" s="146"/>
      <c r="BP35" s="146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46"/>
      <c r="CF35" s="146"/>
      <c r="CG35" s="146"/>
      <c r="CH35" s="146"/>
      <c r="CI35" s="146"/>
      <c r="CJ35" s="146"/>
      <c r="CK35" s="146"/>
      <c r="CL35" s="146"/>
      <c r="CM35" s="146"/>
      <c r="CN35" s="146"/>
      <c r="CO35" s="146"/>
      <c r="CP35" s="146"/>
      <c r="CQ35" s="146"/>
      <c r="CR35" s="146"/>
      <c r="CS35" s="146"/>
      <c r="CT35" s="146"/>
    </row>
    <row r="36" ht="14.25" customHeight="1">
      <c r="A36" s="135" t="s">
        <v>244</v>
      </c>
      <c r="B36" s="152" t="s">
        <v>214</v>
      </c>
      <c r="C36" s="137" t="s">
        <v>209</v>
      </c>
      <c r="D36" s="138" t="s">
        <v>245</v>
      </c>
      <c r="E36" s="153" t="s">
        <v>216</v>
      </c>
      <c r="F36" s="147"/>
      <c r="G36" s="147"/>
      <c r="H36" s="148"/>
      <c r="I36" s="141" t="s">
        <v>198</v>
      </c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3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5"/>
      <c r="AK36" s="146"/>
      <c r="AL36" s="154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  <c r="BP36" s="146"/>
      <c r="BQ36" s="146"/>
      <c r="BR36" s="146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46"/>
      <c r="CF36" s="146"/>
      <c r="CG36" s="146"/>
      <c r="CH36" s="146"/>
      <c r="CI36" s="146"/>
      <c r="CJ36" s="146"/>
      <c r="CK36" s="146"/>
      <c r="CL36" s="146"/>
      <c r="CM36" s="146"/>
      <c r="CN36" s="146"/>
      <c r="CO36" s="146"/>
      <c r="CP36" s="146"/>
      <c r="CQ36" s="146"/>
      <c r="CR36" s="146"/>
      <c r="CS36" s="146"/>
      <c r="CT36" s="146"/>
    </row>
    <row r="37" ht="14.25" customHeight="1">
      <c r="A37" s="135" t="s">
        <v>246</v>
      </c>
      <c r="B37" s="152" t="s">
        <v>214</v>
      </c>
      <c r="C37" s="137" t="s">
        <v>209</v>
      </c>
      <c r="D37" s="138" t="s">
        <v>247</v>
      </c>
      <c r="E37" s="153" t="s">
        <v>216</v>
      </c>
      <c r="F37" s="147"/>
      <c r="G37" s="147"/>
      <c r="H37" s="148"/>
      <c r="I37" s="141" t="s">
        <v>198</v>
      </c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3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5"/>
      <c r="AK37" s="146"/>
      <c r="AL37" s="154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146"/>
      <c r="BQ37" s="146"/>
      <c r="BR37" s="146"/>
      <c r="BS37" s="146"/>
      <c r="BT37" s="146"/>
      <c r="BU37" s="146"/>
      <c r="BV37" s="146"/>
      <c r="BW37" s="146"/>
      <c r="BX37" s="146"/>
      <c r="BY37" s="146"/>
      <c r="BZ37" s="146"/>
      <c r="CA37" s="146"/>
      <c r="CB37" s="146"/>
      <c r="CC37" s="146"/>
      <c r="CD37" s="146"/>
      <c r="CE37" s="146"/>
      <c r="CF37" s="146"/>
      <c r="CG37" s="146"/>
      <c r="CH37" s="146"/>
      <c r="CI37" s="146"/>
      <c r="CJ37" s="146"/>
      <c r="CK37" s="146"/>
      <c r="CL37" s="146"/>
      <c r="CM37" s="146"/>
      <c r="CN37" s="146"/>
      <c r="CO37" s="146"/>
      <c r="CP37" s="146"/>
      <c r="CQ37" s="146"/>
      <c r="CR37" s="146"/>
      <c r="CS37" s="146"/>
      <c r="CT37" s="146"/>
    </row>
    <row r="38" ht="14.25" customHeight="1">
      <c r="A38" s="135" t="s">
        <v>248</v>
      </c>
      <c r="B38" s="152" t="s">
        <v>214</v>
      </c>
      <c r="C38" s="137" t="s">
        <v>218</v>
      </c>
      <c r="D38" s="138" t="s">
        <v>249</v>
      </c>
      <c r="E38" s="153" t="s">
        <v>216</v>
      </c>
      <c r="F38" s="147"/>
      <c r="G38" s="147"/>
      <c r="H38" s="148"/>
      <c r="I38" s="141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3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5"/>
      <c r="AK38" s="146"/>
      <c r="AL38" s="154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46"/>
      <c r="BD38" s="146"/>
      <c r="BE38" s="146"/>
      <c r="BF38" s="146"/>
      <c r="BG38" s="146"/>
      <c r="BH38" s="146"/>
      <c r="BI38" s="146"/>
      <c r="BJ38" s="146"/>
      <c r="BK38" s="146"/>
      <c r="BL38" s="146"/>
      <c r="BM38" s="146"/>
      <c r="BN38" s="146"/>
      <c r="BO38" s="146"/>
      <c r="BP38" s="146"/>
      <c r="BQ38" s="146"/>
      <c r="BR38" s="146"/>
      <c r="BS38" s="146"/>
      <c r="BT38" s="146"/>
      <c r="BU38" s="146"/>
      <c r="BV38" s="146"/>
      <c r="BW38" s="146"/>
      <c r="BX38" s="146"/>
      <c r="BY38" s="146"/>
      <c r="BZ38" s="146"/>
      <c r="CA38" s="146"/>
      <c r="CB38" s="146"/>
      <c r="CC38" s="146"/>
      <c r="CD38" s="146"/>
      <c r="CE38" s="146"/>
      <c r="CF38" s="146"/>
      <c r="CG38" s="146"/>
      <c r="CH38" s="146"/>
      <c r="CI38" s="146"/>
      <c r="CJ38" s="146"/>
      <c r="CK38" s="146"/>
      <c r="CL38" s="146"/>
      <c r="CM38" s="146"/>
      <c r="CN38" s="146"/>
      <c r="CO38" s="146"/>
      <c r="CP38" s="146"/>
      <c r="CQ38" s="146"/>
      <c r="CR38" s="146"/>
      <c r="CS38" s="146"/>
      <c r="CT38" s="146"/>
    </row>
    <row r="39" ht="14.25" customHeight="1">
      <c r="A39" s="135" t="s">
        <v>250</v>
      </c>
      <c r="B39" s="152" t="s">
        <v>214</v>
      </c>
      <c r="C39" s="137" t="s">
        <v>209</v>
      </c>
      <c r="D39" s="138" t="s">
        <v>251</v>
      </c>
      <c r="E39" s="153" t="s">
        <v>216</v>
      </c>
      <c r="F39" s="147"/>
      <c r="G39" s="147"/>
      <c r="H39" s="148"/>
      <c r="I39" s="141" t="s">
        <v>198</v>
      </c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3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5"/>
      <c r="AK39" s="146"/>
      <c r="AL39" s="154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6"/>
      <c r="CH39" s="146"/>
      <c r="CI39" s="146"/>
      <c r="CJ39" s="146"/>
      <c r="CK39" s="146"/>
      <c r="CL39" s="146"/>
      <c r="CM39" s="146"/>
      <c r="CN39" s="146"/>
      <c r="CO39" s="146"/>
      <c r="CP39" s="146"/>
      <c r="CQ39" s="146"/>
      <c r="CR39" s="146"/>
      <c r="CS39" s="146"/>
      <c r="CT39" s="146"/>
    </row>
    <row r="40" ht="14.25" customHeight="1">
      <c r="A40" s="135" t="s">
        <v>252</v>
      </c>
      <c r="B40" s="152" t="s">
        <v>214</v>
      </c>
      <c r="C40" s="137" t="s">
        <v>160</v>
      </c>
      <c r="D40" s="138" t="s">
        <v>253</v>
      </c>
      <c r="E40" s="153" t="s">
        <v>216</v>
      </c>
      <c r="F40" s="147"/>
      <c r="G40" s="147"/>
      <c r="H40" s="148"/>
      <c r="I40" s="141" t="s">
        <v>198</v>
      </c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3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5"/>
      <c r="AK40" s="146"/>
      <c r="AL40" s="154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  <c r="CQ40" s="146"/>
      <c r="CR40" s="146"/>
      <c r="CS40" s="146"/>
      <c r="CT40" s="146"/>
    </row>
    <row r="41" ht="14.25" customHeight="1">
      <c r="A41" s="135" t="s">
        <v>254</v>
      </c>
      <c r="B41" s="152" t="s">
        <v>214</v>
      </c>
      <c r="C41" s="137" t="s">
        <v>209</v>
      </c>
      <c r="D41" s="138" t="s">
        <v>255</v>
      </c>
      <c r="E41" s="153" t="s">
        <v>216</v>
      </c>
      <c r="F41" s="147"/>
      <c r="G41" s="147"/>
      <c r="H41" s="148"/>
      <c r="I41" s="141" t="s">
        <v>161</v>
      </c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3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5"/>
      <c r="AK41" s="146"/>
      <c r="AL41" s="154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46"/>
      <c r="BH41" s="146"/>
      <c r="BI41" s="146"/>
      <c r="BJ41" s="146"/>
      <c r="BK41" s="146"/>
      <c r="BL41" s="146"/>
      <c r="BM41" s="146"/>
      <c r="BN41" s="146"/>
      <c r="BO41" s="146"/>
      <c r="BP41" s="146"/>
      <c r="BQ41" s="146"/>
      <c r="BR41" s="146"/>
      <c r="BS41" s="146"/>
      <c r="BT41" s="146"/>
      <c r="BU41" s="146"/>
      <c r="BV41" s="146"/>
      <c r="BW41" s="146"/>
      <c r="BX41" s="146"/>
      <c r="BY41" s="146"/>
      <c r="BZ41" s="146"/>
      <c r="CA41" s="146"/>
      <c r="CB41" s="146"/>
      <c r="CC41" s="146"/>
      <c r="CD41" s="146"/>
      <c r="CE41" s="146"/>
      <c r="CF41" s="146"/>
      <c r="CG41" s="146"/>
      <c r="CH41" s="146"/>
      <c r="CI41" s="146"/>
      <c r="CJ41" s="146"/>
      <c r="CK41" s="146"/>
      <c r="CL41" s="146"/>
      <c r="CM41" s="146"/>
      <c r="CN41" s="146"/>
      <c r="CO41" s="146"/>
      <c r="CP41" s="146"/>
      <c r="CQ41" s="146"/>
      <c r="CR41" s="146"/>
      <c r="CS41" s="146"/>
      <c r="CT41" s="146"/>
    </row>
    <row r="42" ht="14.25" customHeight="1">
      <c r="A42" s="152" t="s">
        <v>256</v>
      </c>
      <c r="B42" s="152" t="s">
        <v>214</v>
      </c>
      <c r="C42" s="137" t="s">
        <v>160</v>
      </c>
      <c r="D42" s="138" t="s">
        <v>257</v>
      </c>
      <c r="E42" s="153" t="s">
        <v>216</v>
      </c>
      <c r="F42" s="147"/>
      <c r="G42" s="147"/>
      <c r="H42" s="148"/>
      <c r="I42" s="141" t="s">
        <v>161</v>
      </c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3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5"/>
      <c r="AK42" s="146"/>
      <c r="AL42" s="154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6"/>
      <c r="BO42" s="146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6"/>
      <c r="CD42" s="146"/>
      <c r="CE42" s="146"/>
      <c r="CF42" s="146"/>
      <c r="CG42" s="146"/>
      <c r="CH42" s="146"/>
      <c r="CI42" s="146"/>
      <c r="CJ42" s="146"/>
      <c r="CK42" s="146"/>
      <c r="CL42" s="146"/>
      <c r="CM42" s="146"/>
      <c r="CN42" s="146"/>
      <c r="CO42" s="146"/>
      <c r="CP42" s="146"/>
      <c r="CQ42" s="146"/>
      <c r="CR42" s="146"/>
      <c r="CS42" s="146"/>
      <c r="CT42" s="146"/>
    </row>
    <row r="43" ht="14.25" customHeight="1">
      <c r="A43" s="155" t="s">
        <v>258</v>
      </c>
      <c r="B43" s="152" t="s">
        <v>214</v>
      </c>
      <c r="C43" s="137" t="s">
        <v>209</v>
      </c>
      <c r="D43" s="156" t="s">
        <v>259</v>
      </c>
      <c r="E43" s="153" t="s">
        <v>216</v>
      </c>
      <c r="F43" s="157"/>
      <c r="G43" s="157"/>
      <c r="H43" s="158"/>
      <c r="I43" s="159" t="s">
        <v>198</v>
      </c>
      <c r="J43" s="160"/>
      <c r="K43" s="160"/>
      <c r="L43" s="160"/>
      <c r="M43" s="160"/>
      <c r="N43" s="160"/>
      <c r="O43" s="160"/>
      <c r="P43" s="160"/>
      <c r="Q43" s="160"/>
      <c r="R43" s="160"/>
      <c r="S43" s="142"/>
      <c r="T43" s="142"/>
      <c r="U43" s="143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5"/>
      <c r="AK43" s="146"/>
      <c r="AL43" s="154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  <c r="BM43" s="146"/>
      <c r="BN43" s="146"/>
      <c r="BO43" s="146"/>
      <c r="BP43" s="146"/>
      <c r="BQ43" s="146"/>
      <c r="BR43" s="146"/>
      <c r="BS43" s="146"/>
      <c r="BT43" s="146"/>
      <c r="BU43" s="146"/>
      <c r="BV43" s="146"/>
      <c r="BW43" s="146"/>
      <c r="BX43" s="146"/>
      <c r="BY43" s="146"/>
      <c r="BZ43" s="146"/>
      <c r="CA43" s="146"/>
      <c r="CB43" s="146"/>
      <c r="CC43" s="146"/>
      <c r="CD43" s="146"/>
      <c r="CE43" s="146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  <c r="CQ43" s="146"/>
      <c r="CR43" s="146"/>
      <c r="CS43" s="146"/>
      <c r="CT43" s="146"/>
    </row>
    <row r="44" ht="14.25" customHeight="1">
      <c r="A44" s="119"/>
      <c r="B44" s="119"/>
      <c r="C44" s="119"/>
      <c r="I44" s="161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AL44" s="119"/>
    </row>
    <row r="45" ht="14.25" customHeight="1">
      <c r="A45" s="119"/>
      <c r="B45" s="119"/>
      <c r="C45" s="119"/>
      <c r="I45" s="161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AL45" s="119"/>
    </row>
    <row r="46" ht="14.25" customHeight="1">
      <c r="A46" s="119"/>
      <c r="B46" s="119"/>
      <c r="C46" s="119"/>
      <c r="I46" s="161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AL46" s="119"/>
    </row>
    <row r="47" ht="14.25" customHeight="1">
      <c r="A47" s="119"/>
      <c r="B47" s="119"/>
      <c r="C47" s="119"/>
      <c r="I47" s="161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AL47" s="119"/>
    </row>
    <row r="48" ht="14.25" customHeight="1">
      <c r="A48" s="119"/>
      <c r="B48" s="119"/>
      <c r="C48" s="119"/>
      <c r="I48" s="161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AL48" s="119"/>
    </row>
    <row r="49" ht="14.25" customHeight="1">
      <c r="A49" s="119"/>
      <c r="B49" s="119"/>
      <c r="C49" s="119"/>
      <c r="I49" s="161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AL49" s="119"/>
    </row>
    <row r="50" ht="14.25" customHeight="1">
      <c r="A50" s="119"/>
      <c r="B50" s="119"/>
      <c r="C50" s="119"/>
      <c r="I50" s="161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AL50" s="119"/>
    </row>
    <row r="51" ht="14.25" customHeight="1">
      <c r="A51" s="119"/>
      <c r="B51" s="119"/>
      <c r="C51" s="119"/>
      <c r="I51" s="161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AL51" s="119"/>
    </row>
    <row r="52" ht="14.25" customHeight="1">
      <c r="A52" s="119"/>
      <c r="B52" s="119"/>
      <c r="C52" s="119"/>
      <c r="I52" s="161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AL52" s="119"/>
    </row>
    <row r="53" ht="14.25" customHeight="1">
      <c r="A53" s="119"/>
      <c r="B53" s="119"/>
      <c r="C53" s="119"/>
      <c r="I53" s="161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AL53" s="119"/>
    </row>
    <row r="54" ht="14.25" customHeight="1">
      <c r="A54" s="119"/>
      <c r="B54" s="119"/>
      <c r="C54" s="119"/>
      <c r="I54" s="161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AL54" s="119"/>
    </row>
    <row r="55" ht="14.25" customHeight="1">
      <c r="A55" s="119"/>
      <c r="B55" s="119"/>
      <c r="C55" s="119"/>
      <c r="I55" s="161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AL55" s="119"/>
    </row>
    <row r="56" ht="14.25" customHeight="1">
      <c r="A56" s="119"/>
      <c r="B56" s="119"/>
      <c r="C56" s="119"/>
      <c r="I56" s="161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AL56" s="119"/>
    </row>
    <row r="57" ht="14.25" customHeight="1">
      <c r="A57" s="119"/>
      <c r="B57" s="119"/>
      <c r="C57" s="119"/>
      <c r="I57" s="161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AL57" s="119"/>
    </row>
    <row r="58" ht="14.25" customHeight="1">
      <c r="A58" s="119"/>
      <c r="B58" s="119"/>
      <c r="C58" s="119"/>
      <c r="I58" s="161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AL58" s="119"/>
    </row>
    <row r="59" ht="14.25" customHeight="1">
      <c r="A59" s="119"/>
      <c r="B59" s="119"/>
      <c r="C59" s="119"/>
      <c r="I59" s="161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AL59" s="119"/>
    </row>
    <row r="60" ht="14.25" customHeight="1">
      <c r="A60" s="119"/>
      <c r="B60" s="119"/>
      <c r="C60" s="119"/>
      <c r="I60" s="161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AL60" s="119"/>
    </row>
    <row r="61" ht="14.25" customHeight="1">
      <c r="A61" s="119"/>
      <c r="B61" s="119"/>
      <c r="C61" s="119"/>
      <c r="I61" s="161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AL61" s="119"/>
    </row>
    <row r="62" ht="14.25" customHeight="1">
      <c r="A62" s="119"/>
      <c r="B62" s="119"/>
      <c r="C62" s="119"/>
      <c r="I62" s="161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AL62" s="119"/>
    </row>
    <row r="63" ht="14.25" customHeight="1">
      <c r="A63" s="119"/>
      <c r="B63" s="119"/>
      <c r="C63" s="119"/>
      <c r="I63" s="161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AL63" s="119"/>
    </row>
    <row r="64" ht="14.25" customHeight="1">
      <c r="C64" s="119"/>
      <c r="I64" s="161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AL64" s="119"/>
    </row>
    <row r="65" ht="14.25" customHeight="1">
      <c r="C65" s="119"/>
      <c r="I65" s="161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AL65" s="119"/>
    </row>
    <row r="66" ht="14.25" customHeight="1">
      <c r="C66" s="119"/>
      <c r="I66" s="161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AL66" s="119"/>
    </row>
    <row r="67" ht="14.25" customHeight="1">
      <c r="C67" s="119"/>
      <c r="I67" s="161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AL67" s="119"/>
    </row>
    <row r="68" ht="14.25" customHeight="1">
      <c r="C68" s="119"/>
      <c r="I68" s="161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AL68" s="119"/>
    </row>
    <row r="69" ht="14.25" customHeight="1">
      <c r="C69" s="119"/>
      <c r="I69" s="161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AL69" s="119"/>
    </row>
    <row r="70" ht="14.25" customHeight="1">
      <c r="C70" s="119"/>
      <c r="I70" s="161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AL70" s="119"/>
    </row>
    <row r="71" ht="14.25" customHeight="1">
      <c r="C71" s="119"/>
      <c r="I71" s="161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AL71" s="119"/>
    </row>
    <row r="72" ht="14.25" customHeight="1">
      <c r="C72" s="119"/>
      <c r="I72" s="161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AL72" s="119"/>
    </row>
    <row r="73" ht="14.25" customHeight="1">
      <c r="C73" s="119"/>
      <c r="I73" s="161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AL73" s="119"/>
    </row>
    <row r="74" ht="14.25" customHeight="1">
      <c r="C74" s="119"/>
      <c r="I74" s="161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AL74" s="119"/>
    </row>
    <row r="75" ht="14.25" customHeight="1">
      <c r="C75" s="119"/>
      <c r="I75" s="161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AL75" s="119"/>
    </row>
    <row r="76" ht="14.25" customHeight="1">
      <c r="C76" s="119"/>
      <c r="I76" s="161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AL76" s="119"/>
    </row>
    <row r="77" ht="14.25" customHeight="1">
      <c r="C77" s="119"/>
      <c r="I77" s="161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AL77" s="119"/>
    </row>
    <row r="78" ht="14.25" customHeight="1">
      <c r="C78" s="119"/>
      <c r="I78" s="161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AL78" s="119"/>
    </row>
    <row r="79" ht="14.25" customHeight="1">
      <c r="C79" s="119"/>
      <c r="I79" s="161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AL79" s="119"/>
    </row>
    <row r="80" ht="14.25" customHeight="1">
      <c r="C80" s="119"/>
      <c r="I80" s="161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AL80" s="119"/>
    </row>
    <row r="81" ht="14.25" customHeight="1">
      <c r="C81" s="119"/>
      <c r="I81" s="161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AL81" s="119"/>
    </row>
    <row r="82" ht="14.25" customHeight="1">
      <c r="C82" s="119"/>
      <c r="I82" s="161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AL82" s="119"/>
    </row>
    <row r="83" ht="14.25" customHeight="1">
      <c r="C83" s="119"/>
      <c r="I83" s="161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AL83" s="119"/>
    </row>
    <row r="84" ht="14.25" customHeight="1">
      <c r="C84" s="119"/>
      <c r="I84" s="161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AL84" s="119"/>
    </row>
    <row r="85" ht="14.25" customHeight="1">
      <c r="C85" s="119"/>
      <c r="I85" s="161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AL85" s="119"/>
    </row>
    <row r="86" ht="14.25" customHeight="1">
      <c r="C86" s="119"/>
      <c r="I86" s="161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AL86" s="119"/>
    </row>
    <row r="87" ht="14.25" customHeight="1">
      <c r="C87" s="119"/>
      <c r="I87" s="161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AL87" s="119"/>
    </row>
    <row r="88" ht="14.25" customHeight="1">
      <c r="C88" s="119"/>
      <c r="I88" s="161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AL88" s="119"/>
    </row>
    <row r="89" ht="14.25" customHeight="1">
      <c r="C89" s="119"/>
      <c r="I89" s="161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AL89" s="119"/>
    </row>
    <row r="90" ht="14.25" customHeight="1">
      <c r="C90" s="119"/>
      <c r="I90" s="161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AL90" s="119"/>
    </row>
    <row r="91" ht="14.25" customHeight="1">
      <c r="C91" s="119"/>
      <c r="I91" s="161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AL91" s="119"/>
    </row>
    <row r="92" ht="14.25" customHeight="1">
      <c r="C92" s="119"/>
      <c r="I92" s="161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AL92" s="119"/>
    </row>
    <row r="93" ht="14.25" customHeight="1">
      <c r="C93" s="119"/>
      <c r="I93" s="161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AL93" s="119"/>
    </row>
    <row r="94" ht="14.25" customHeight="1">
      <c r="C94" s="119"/>
      <c r="I94" s="161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AL94" s="119"/>
    </row>
    <row r="95" ht="14.25" customHeight="1">
      <c r="C95" s="119"/>
      <c r="I95" s="161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AL95" s="119"/>
    </row>
    <row r="96" ht="14.25" customHeight="1">
      <c r="C96" s="119"/>
      <c r="I96" s="161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AL96" s="119"/>
    </row>
    <row r="97" ht="14.25" customHeight="1">
      <c r="C97" s="119"/>
      <c r="I97" s="161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AL97" s="119"/>
    </row>
    <row r="98" ht="14.25" customHeight="1">
      <c r="C98" s="119"/>
      <c r="I98" s="161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AL98" s="119"/>
    </row>
    <row r="99" ht="14.25" customHeight="1">
      <c r="C99" s="119"/>
      <c r="I99" s="161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AL99" s="119"/>
    </row>
    <row r="100" ht="14.25" customHeight="1">
      <c r="C100" s="119"/>
      <c r="I100" s="161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AL100" s="119"/>
    </row>
    <row r="101" ht="14.25" customHeight="1">
      <c r="C101" s="119"/>
      <c r="I101" s="161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AL101" s="119"/>
    </row>
    <row r="102" ht="14.25" customHeight="1">
      <c r="C102" s="119"/>
      <c r="I102" s="161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AL102" s="119"/>
    </row>
    <row r="103" ht="14.25" customHeight="1">
      <c r="C103" s="119"/>
      <c r="I103" s="161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AL103" s="119"/>
    </row>
    <row r="104" ht="14.25" customHeight="1">
      <c r="C104" s="119"/>
      <c r="I104" s="161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AL104" s="119"/>
    </row>
    <row r="105" ht="14.25" customHeight="1">
      <c r="C105" s="119"/>
      <c r="I105" s="161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AL105" s="119"/>
    </row>
    <row r="106" ht="14.25" customHeight="1">
      <c r="C106" s="119"/>
      <c r="I106" s="161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AL106" s="119"/>
    </row>
    <row r="107" ht="14.25" customHeight="1">
      <c r="C107" s="119"/>
      <c r="I107" s="161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AL107" s="119"/>
    </row>
    <row r="108" ht="14.25" customHeight="1">
      <c r="C108" s="119"/>
      <c r="I108" s="161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AL108" s="119"/>
    </row>
    <row r="109" ht="14.25" customHeight="1">
      <c r="C109" s="119"/>
      <c r="I109" s="161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AL109" s="119"/>
    </row>
    <row r="110" ht="14.25" customHeight="1">
      <c r="C110" s="119"/>
      <c r="I110" s="161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AL110" s="119"/>
    </row>
    <row r="111" ht="14.25" customHeight="1">
      <c r="C111" s="119"/>
      <c r="I111" s="161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AL111" s="119"/>
    </row>
    <row r="112" ht="14.25" customHeight="1">
      <c r="C112" s="119"/>
      <c r="I112" s="161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AL112" s="119"/>
    </row>
    <row r="113" ht="14.25" customHeight="1">
      <c r="C113" s="119"/>
      <c r="I113" s="161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AL113" s="119"/>
    </row>
    <row r="114" ht="14.25" customHeight="1">
      <c r="C114" s="119"/>
      <c r="I114" s="161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AL114" s="119"/>
    </row>
    <row r="115" ht="14.25" customHeight="1">
      <c r="C115" s="119"/>
      <c r="I115" s="161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AL115" s="119"/>
    </row>
    <row r="116" ht="14.25" customHeight="1">
      <c r="C116" s="119"/>
      <c r="I116" s="161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AL116" s="119"/>
    </row>
    <row r="117" ht="14.25" customHeight="1">
      <c r="C117" s="119"/>
      <c r="I117" s="161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AL117" s="119"/>
    </row>
    <row r="118" ht="14.25" customHeight="1">
      <c r="C118" s="119"/>
      <c r="I118" s="161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AL118" s="119"/>
    </row>
    <row r="119" ht="14.25" customHeight="1">
      <c r="C119" s="119"/>
      <c r="I119" s="161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AL119" s="119"/>
    </row>
    <row r="120" ht="14.25" customHeight="1">
      <c r="C120" s="119"/>
      <c r="I120" s="161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AL120" s="119"/>
    </row>
    <row r="121" ht="14.25" customHeight="1">
      <c r="C121" s="119"/>
      <c r="I121" s="161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AL121" s="119"/>
    </row>
    <row r="122" ht="14.25" customHeight="1">
      <c r="C122" s="119"/>
      <c r="I122" s="161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AL122" s="119"/>
    </row>
    <row r="123" ht="14.25" customHeight="1">
      <c r="C123" s="119"/>
      <c r="I123" s="161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AL123" s="119"/>
    </row>
    <row r="124" ht="14.25" customHeight="1">
      <c r="C124" s="119"/>
      <c r="I124" s="161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AL124" s="119"/>
    </row>
    <row r="125" ht="14.25" customHeight="1">
      <c r="C125" s="119"/>
      <c r="I125" s="161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AL125" s="119"/>
    </row>
    <row r="126" ht="14.25" customHeight="1">
      <c r="C126" s="119"/>
      <c r="I126" s="161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AL126" s="119"/>
    </row>
    <row r="127" ht="14.25" customHeight="1">
      <c r="C127" s="119"/>
      <c r="I127" s="161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AL127" s="119"/>
    </row>
    <row r="128" ht="14.25" customHeight="1">
      <c r="C128" s="119"/>
      <c r="I128" s="161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AL128" s="119"/>
    </row>
    <row r="129" ht="14.25" customHeight="1">
      <c r="C129" s="119"/>
      <c r="I129" s="161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AL129" s="119"/>
    </row>
    <row r="130" ht="14.25" customHeight="1">
      <c r="C130" s="119"/>
      <c r="I130" s="161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AL130" s="119"/>
    </row>
    <row r="131" ht="14.25" customHeight="1">
      <c r="C131" s="119"/>
      <c r="I131" s="161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AL131" s="119"/>
    </row>
    <row r="132" ht="14.25" customHeight="1">
      <c r="C132" s="119"/>
      <c r="I132" s="161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AL132" s="119"/>
    </row>
    <row r="133" ht="14.25" customHeight="1">
      <c r="C133" s="119"/>
      <c r="I133" s="161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AL133" s="119"/>
    </row>
    <row r="134" ht="14.25" customHeight="1">
      <c r="C134" s="119"/>
      <c r="I134" s="161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AL134" s="119"/>
    </row>
    <row r="135" ht="14.25" customHeight="1">
      <c r="C135" s="119"/>
      <c r="I135" s="161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AL135" s="119"/>
    </row>
    <row r="136" ht="14.25" customHeight="1">
      <c r="C136" s="119"/>
      <c r="I136" s="161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AL136" s="119"/>
    </row>
    <row r="137" ht="14.25" customHeight="1">
      <c r="C137" s="119"/>
      <c r="I137" s="161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AL137" s="119"/>
    </row>
    <row r="138" ht="14.25" customHeight="1">
      <c r="C138" s="119"/>
      <c r="I138" s="161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AL138" s="119"/>
    </row>
    <row r="139" ht="14.25" customHeight="1">
      <c r="C139" s="119"/>
      <c r="I139" s="161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AL139" s="119"/>
    </row>
    <row r="140" ht="14.25" customHeight="1">
      <c r="C140" s="119"/>
      <c r="I140" s="161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AL140" s="119"/>
    </row>
    <row r="141" ht="14.25" customHeight="1">
      <c r="C141" s="119"/>
      <c r="I141" s="161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AL141" s="119"/>
    </row>
    <row r="142" ht="14.25" customHeight="1">
      <c r="C142" s="119"/>
      <c r="I142" s="161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AL142" s="119"/>
    </row>
    <row r="143" ht="14.25" customHeight="1">
      <c r="C143" s="119"/>
      <c r="I143" s="161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AL143" s="119"/>
    </row>
    <row r="144" ht="14.25" customHeight="1">
      <c r="C144" s="119"/>
      <c r="I144" s="161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AL144" s="119"/>
    </row>
    <row r="145" ht="14.25" customHeight="1">
      <c r="C145" s="119"/>
      <c r="I145" s="161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AL145" s="119"/>
    </row>
    <row r="146" ht="14.25" customHeight="1">
      <c r="C146" s="119"/>
      <c r="I146" s="161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AL146" s="119"/>
    </row>
    <row r="147" ht="14.25" customHeight="1">
      <c r="C147" s="119"/>
      <c r="I147" s="161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AL147" s="119"/>
    </row>
    <row r="148" ht="14.25" customHeight="1">
      <c r="C148" s="119"/>
      <c r="I148" s="161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AL148" s="119"/>
    </row>
    <row r="149" ht="14.25" customHeight="1">
      <c r="C149" s="119"/>
      <c r="I149" s="161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AL149" s="119"/>
    </row>
    <row r="150" ht="14.25" customHeight="1">
      <c r="C150" s="119"/>
      <c r="I150" s="161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AL150" s="119"/>
    </row>
    <row r="151" ht="14.25" customHeight="1">
      <c r="C151" s="119"/>
      <c r="I151" s="161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AL151" s="119"/>
    </row>
    <row r="152" ht="14.25" customHeight="1">
      <c r="C152" s="119"/>
      <c r="I152" s="161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AL152" s="119"/>
    </row>
    <row r="153" ht="14.25" customHeight="1">
      <c r="C153" s="119"/>
      <c r="I153" s="161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AL153" s="119"/>
    </row>
    <row r="154" ht="14.25" customHeight="1">
      <c r="C154" s="119"/>
      <c r="I154" s="161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AL154" s="119"/>
    </row>
    <row r="155" ht="14.25" customHeight="1">
      <c r="C155" s="119"/>
      <c r="I155" s="161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AL155" s="119"/>
    </row>
    <row r="156" ht="14.25" customHeight="1">
      <c r="C156" s="119"/>
      <c r="I156" s="161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AL156" s="119"/>
    </row>
    <row r="157" ht="14.25" customHeight="1">
      <c r="C157" s="119"/>
      <c r="I157" s="161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AL157" s="119"/>
    </row>
    <row r="158" ht="14.25" customHeight="1">
      <c r="C158" s="119"/>
      <c r="I158" s="161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AL158" s="119"/>
    </row>
    <row r="159" ht="14.25" customHeight="1">
      <c r="C159" s="119"/>
      <c r="I159" s="161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AL159" s="119"/>
    </row>
    <row r="160" ht="14.25" customHeight="1">
      <c r="C160" s="119"/>
      <c r="I160" s="161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AL160" s="119"/>
    </row>
    <row r="161" ht="14.25" customHeight="1">
      <c r="C161" s="119"/>
      <c r="I161" s="161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AL161" s="119"/>
    </row>
    <row r="162" ht="14.25" customHeight="1">
      <c r="C162" s="119"/>
      <c r="I162" s="161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AL162" s="119"/>
    </row>
    <row r="163" ht="14.25" customHeight="1">
      <c r="C163" s="119"/>
      <c r="I163" s="161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AL163" s="119"/>
    </row>
    <row r="164" ht="14.25" customHeight="1">
      <c r="C164" s="119"/>
      <c r="I164" s="161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AL164" s="119"/>
    </row>
    <row r="165" ht="14.25" customHeight="1">
      <c r="C165" s="119"/>
      <c r="I165" s="161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AL165" s="119"/>
    </row>
    <row r="166" ht="14.25" customHeight="1">
      <c r="C166" s="119"/>
      <c r="I166" s="161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AL166" s="119"/>
    </row>
    <row r="167" ht="14.25" customHeight="1">
      <c r="C167" s="119"/>
      <c r="I167" s="161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AL167" s="119"/>
    </row>
    <row r="168" ht="14.25" customHeight="1">
      <c r="C168" s="119"/>
      <c r="I168" s="161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AL168" s="119"/>
    </row>
    <row r="169" ht="14.25" customHeight="1">
      <c r="C169" s="119"/>
      <c r="I169" s="161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AL169" s="119"/>
    </row>
    <row r="170" ht="14.25" customHeight="1">
      <c r="C170" s="119"/>
      <c r="I170" s="161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AL170" s="119"/>
    </row>
    <row r="171" ht="14.25" customHeight="1">
      <c r="C171" s="119"/>
      <c r="I171" s="161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AL171" s="119"/>
    </row>
    <row r="172" ht="14.25" customHeight="1">
      <c r="C172" s="119"/>
      <c r="I172" s="161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AL172" s="119"/>
    </row>
    <row r="173" ht="14.25" customHeight="1">
      <c r="C173" s="119"/>
      <c r="I173" s="161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AL173" s="119"/>
    </row>
    <row r="174" ht="14.25" customHeight="1">
      <c r="C174" s="119"/>
      <c r="I174" s="161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AL174" s="119"/>
    </row>
    <row r="175" ht="14.25" customHeight="1">
      <c r="C175" s="119"/>
      <c r="I175" s="161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AL175" s="119"/>
    </row>
    <row r="176" ht="14.25" customHeight="1">
      <c r="C176" s="119"/>
      <c r="I176" s="161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AL176" s="119"/>
    </row>
    <row r="177" ht="14.25" customHeight="1">
      <c r="C177" s="119"/>
      <c r="I177" s="161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AL177" s="119"/>
    </row>
    <row r="178" ht="14.25" customHeight="1">
      <c r="C178" s="119"/>
      <c r="I178" s="161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AL178" s="119"/>
    </row>
    <row r="179" ht="14.25" customHeight="1">
      <c r="C179" s="119"/>
      <c r="I179" s="161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AL179" s="119"/>
    </row>
    <row r="180" ht="14.25" customHeight="1">
      <c r="C180" s="119"/>
      <c r="I180" s="161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AL180" s="119"/>
    </row>
    <row r="181" ht="14.25" customHeight="1">
      <c r="C181" s="119"/>
      <c r="I181" s="161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AL181" s="119"/>
    </row>
    <row r="182" ht="14.25" customHeight="1">
      <c r="C182" s="119"/>
      <c r="I182" s="161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AL182" s="119"/>
    </row>
    <row r="183" ht="14.25" customHeight="1">
      <c r="C183" s="119"/>
      <c r="I183" s="161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AL183" s="119"/>
    </row>
    <row r="184" ht="14.25" customHeight="1">
      <c r="C184" s="119"/>
      <c r="I184" s="161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AL184" s="119"/>
    </row>
    <row r="185" ht="14.25" customHeight="1">
      <c r="C185" s="119"/>
      <c r="I185" s="161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AL185" s="119"/>
    </row>
    <row r="186" ht="14.25" customHeight="1">
      <c r="C186" s="119"/>
      <c r="I186" s="161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AL186" s="119"/>
    </row>
    <row r="187" ht="14.25" customHeight="1">
      <c r="C187" s="119"/>
      <c r="I187" s="161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AL187" s="119"/>
    </row>
    <row r="188" ht="14.25" customHeight="1">
      <c r="C188" s="119"/>
      <c r="I188" s="161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AL188" s="119"/>
    </row>
    <row r="189" ht="14.25" customHeight="1">
      <c r="C189" s="119"/>
      <c r="I189" s="161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AL189" s="119"/>
    </row>
    <row r="190" ht="14.25" customHeight="1">
      <c r="C190" s="119"/>
      <c r="I190" s="161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AL190" s="119"/>
    </row>
    <row r="191" ht="14.25" customHeight="1">
      <c r="C191" s="119"/>
      <c r="I191" s="161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AL191" s="119"/>
    </row>
    <row r="192" ht="14.25" customHeight="1">
      <c r="C192" s="119"/>
      <c r="I192" s="161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AL192" s="119"/>
    </row>
    <row r="193" ht="14.25" customHeight="1">
      <c r="C193" s="119"/>
      <c r="I193" s="161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AL193" s="119"/>
    </row>
    <row r="194" ht="14.25" customHeight="1">
      <c r="C194" s="119"/>
      <c r="I194" s="161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AL194" s="119"/>
    </row>
    <row r="195" ht="14.25" customHeight="1">
      <c r="C195" s="119"/>
      <c r="I195" s="161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AL195" s="119"/>
    </row>
    <row r="196" ht="14.25" customHeight="1">
      <c r="C196" s="119"/>
      <c r="I196" s="161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AL196" s="119"/>
    </row>
    <row r="197" ht="14.25" customHeight="1">
      <c r="C197" s="119"/>
      <c r="I197" s="161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AL197" s="119"/>
    </row>
    <row r="198" ht="14.25" customHeight="1">
      <c r="C198" s="119"/>
      <c r="I198" s="161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AL198" s="119"/>
    </row>
    <row r="199" ht="14.25" customHeight="1">
      <c r="C199" s="119"/>
      <c r="I199" s="161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AL199" s="119"/>
    </row>
    <row r="200" ht="14.25" customHeight="1">
      <c r="C200" s="119"/>
      <c r="I200" s="161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AL200" s="119"/>
    </row>
    <row r="201" ht="14.25" customHeight="1">
      <c r="C201" s="119"/>
      <c r="I201" s="161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AL201" s="119"/>
    </row>
    <row r="202" ht="14.25" customHeight="1">
      <c r="C202" s="119"/>
      <c r="I202" s="161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AL202" s="119"/>
    </row>
    <row r="203" ht="14.25" customHeight="1">
      <c r="C203" s="119"/>
      <c r="I203" s="161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AL203" s="119"/>
    </row>
    <row r="204" ht="14.25" customHeight="1">
      <c r="C204" s="119"/>
      <c r="I204" s="161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AL204" s="119"/>
    </row>
    <row r="205" ht="14.25" customHeight="1">
      <c r="C205" s="119"/>
      <c r="I205" s="161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AL205" s="119"/>
    </row>
    <row r="206" ht="14.25" customHeight="1">
      <c r="C206" s="119"/>
      <c r="I206" s="161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AL206" s="119"/>
    </row>
    <row r="207" ht="14.25" customHeight="1">
      <c r="C207" s="119"/>
      <c r="I207" s="161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AL207" s="119"/>
    </row>
    <row r="208" ht="14.25" customHeight="1">
      <c r="C208" s="119"/>
      <c r="I208" s="161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AL208" s="119"/>
    </row>
    <row r="209" ht="14.25" customHeight="1">
      <c r="C209" s="119"/>
      <c r="I209" s="161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AL209" s="119"/>
    </row>
    <row r="210" ht="14.25" customHeight="1">
      <c r="C210" s="119"/>
      <c r="I210" s="161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AL210" s="119"/>
    </row>
    <row r="211" ht="14.25" customHeight="1">
      <c r="C211" s="119"/>
      <c r="I211" s="161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AL211" s="119"/>
    </row>
    <row r="212" ht="14.25" customHeight="1">
      <c r="C212" s="119"/>
      <c r="I212" s="161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AL212" s="119"/>
    </row>
    <row r="213" ht="14.25" customHeight="1">
      <c r="C213" s="119"/>
      <c r="I213" s="161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AL213" s="119"/>
    </row>
    <row r="214" ht="14.25" customHeight="1">
      <c r="C214" s="119"/>
      <c r="I214" s="161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AL214" s="119"/>
    </row>
    <row r="215" ht="14.25" customHeight="1">
      <c r="C215" s="119"/>
      <c r="I215" s="161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AL215" s="119"/>
    </row>
    <row r="216" ht="14.25" customHeight="1">
      <c r="C216" s="119"/>
      <c r="I216" s="161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AL216" s="119"/>
    </row>
    <row r="217" ht="14.25" customHeight="1">
      <c r="C217" s="119"/>
      <c r="I217" s="161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AL217" s="119"/>
    </row>
    <row r="218" ht="14.25" customHeight="1">
      <c r="C218" s="119"/>
      <c r="I218" s="161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AL218" s="119"/>
    </row>
    <row r="219" ht="14.25" customHeight="1">
      <c r="C219" s="119"/>
      <c r="I219" s="161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AL219" s="119"/>
    </row>
    <row r="220" ht="14.25" customHeight="1">
      <c r="C220" s="119"/>
      <c r="I220" s="161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AL220" s="119"/>
    </row>
    <row r="221" ht="14.25" customHeight="1">
      <c r="C221" s="119"/>
      <c r="I221" s="161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AL221" s="119"/>
    </row>
    <row r="222" ht="14.25" customHeight="1">
      <c r="C222" s="119"/>
      <c r="I222" s="161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AL222" s="119"/>
    </row>
    <row r="223" ht="14.25" customHeight="1">
      <c r="C223" s="119"/>
      <c r="I223" s="161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AL223" s="119"/>
    </row>
    <row r="224" ht="14.25" customHeight="1">
      <c r="C224" s="119"/>
      <c r="I224" s="161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AL224" s="119"/>
    </row>
    <row r="225" ht="14.25" customHeight="1">
      <c r="C225" s="119"/>
      <c r="I225" s="161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AL225" s="119"/>
    </row>
    <row r="226" ht="14.25" customHeight="1">
      <c r="C226" s="119"/>
      <c r="I226" s="161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AL226" s="119"/>
    </row>
    <row r="227" ht="14.25" customHeight="1">
      <c r="C227" s="119"/>
      <c r="I227" s="161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AL227" s="119"/>
    </row>
    <row r="228" ht="14.25" customHeight="1">
      <c r="C228" s="119"/>
      <c r="I228" s="161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AL228" s="119"/>
    </row>
    <row r="229" ht="14.25" customHeight="1">
      <c r="C229" s="119"/>
      <c r="I229" s="161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AL229" s="119"/>
    </row>
    <row r="230" ht="14.25" customHeight="1">
      <c r="C230" s="119"/>
      <c r="I230" s="161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AL230" s="119"/>
    </row>
    <row r="231" ht="14.25" customHeight="1">
      <c r="C231" s="119"/>
      <c r="I231" s="161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AL231" s="119"/>
    </row>
    <row r="232" ht="14.25" customHeight="1">
      <c r="C232" s="119"/>
      <c r="I232" s="161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AL232" s="119"/>
    </row>
    <row r="233" ht="14.25" customHeight="1">
      <c r="C233" s="119"/>
      <c r="I233" s="161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AL233" s="119"/>
    </row>
    <row r="234" ht="14.25" customHeight="1">
      <c r="C234" s="119"/>
      <c r="I234" s="161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AL234" s="119"/>
    </row>
    <row r="235" ht="14.25" customHeight="1">
      <c r="C235" s="119"/>
      <c r="I235" s="161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AL235" s="119"/>
    </row>
    <row r="236" ht="14.25" customHeight="1">
      <c r="C236" s="119"/>
      <c r="I236" s="161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AL236" s="119"/>
    </row>
    <row r="237" ht="14.25" customHeight="1">
      <c r="C237" s="119"/>
      <c r="I237" s="161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AL237" s="119"/>
    </row>
    <row r="238" ht="14.25" customHeight="1">
      <c r="C238" s="119"/>
      <c r="I238" s="161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AL238" s="119"/>
    </row>
    <row r="239" ht="14.25" customHeight="1">
      <c r="C239" s="119"/>
      <c r="I239" s="161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AL239" s="119"/>
    </row>
    <row r="240" ht="14.25" customHeight="1">
      <c r="C240" s="119"/>
      <c r="I240" s="161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AL240" s="119"/>
    </row>
    <row r="241" ht="14.25" customHeight="1">
      <c r="C241" s="119"/>
      <c r="I241" s="161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AL241" s="119"/>
    </row>
    <row r="242" ht="14.25" customHeight="1">
      <c r="C242" s="119"/>
      <c r="I242" s="161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AL242" s="119"/>
    </row>
    <row r="243" ht="14.25" customHeight="1">
      <c r="C243" s="119"/>
      <c r="I243" s="161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AL243" s="119"/>
    </row>
    <row r="244" ht="14.25" customHeight="1">
      <c r="C244" s="119"/>
      <c r="I244" s="161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AL244" s="119"/>
    </row>
    <row r="245" ht="14.25" customHeight="1">
      <c r="C245" s="119"/>
      <c r="I245" s="161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AL245" s="119"/>
    </row>
    <row r="246" ht="14.25" customHeight="1">
      <c r="C246" s="119"/>
      <c r="I246" s="161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AL246" s="119"/>
    </row>
    <row r="247" ht="14.25" customHeight="1">
      <c r="C247" s="119"/>
      <c r="I247" s="161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AL247" s="119"/>
    </row>
    <row r="248" ht="14.25" customHeight="1">
      <c r="C248" s="119"/>
      <c r="I248" s="161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AL248" s="119"/>
    </row>
    <row r="249" ht="14.25" customHeight="1">
      <c r="C249" s="119"/>
      <c r="I249" s="161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AL249" s="119"/>
    </row>
    <row r="250" ht="14.25" customHeight="1">
      <c r="C250" s="119"/>
      <c r="I250" s="161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AL250" s="119"/>
    </row>
    <row r="251" ht="14.25" customHeight="1">
      <c r="C251" s="119"/>
      <c r="I251" s="161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AL251" s="119"/>
    </row>
    <row r="252" ht="14.25" customHeight="1">
      <c r="C252" s="119"/>
      <c r="I252" s="161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AL252" s="119"/>
    </row>
    <row r="253" ht="14.25" customHeight="1">
      <c r="C253" s="119"/>
      <c r="I253" s="161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AL253" s="119"/>
    </row>
    <row r="254" ht="14.25" customHeight="1">
      <c r="C254" s="119"/>
      <c r="I254" s="161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AL254" s="119"/>
    </row>
    <row r="255" ht="14.25" customHeight="1">
      <c r="C255" s="119"/>
      <c r="I255" s="161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AL255" s="119"/>
    </row>
    <row r="256" ht="14.25" customHeight="1">
      <c r="C256" s="119"/>
      <c r="I256" s="161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AL256" s="119"/>
    </row>
    <row r="257" ht="14.25" customHeight="1">
      <c r="C257" s="119"/>
      <c r="I257" s="161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AL257" s="119"/>
    </row>
    <row r="258" ht="14.25" customHeight="1">
      <c r="C258" s="119"/>
      <c r="I258" s="161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AL258" s="119"/>
    </row>
    <row r="259" ht="14.25" customHeight="1">
      <c r="C259" s="119"/>
      <c r="I259" s="161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AL259" s="119"/>
    </row>
    <row r="260" ht="14.25" customHeight="1">
      <c r="C260" s="119"/>
      <c r="I260" s="161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AL260" s="119"/>
    </row>
    <row r="261" ht="14.25" customHeight="1">
      <c r="C261" s="119"/>
      <c r="I261" s="161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AL261" s="119"/>
    </row>
    <row r="262" ht="14.25" customHeight="1">
      <c r="C262" s="119"/>
      <c r="I262" s="161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AL262" s="119"/>
    </row>
    <row r="263" ht="14.25" customHeight="1">
      <c r="C263" s="119"/>
      <c r="I263" s="161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AL263" s="119"/>
    </row>
    <row r="264" ht="14.25" customHeight="1">
      <c r="C264" s="119"/>
      <c r="I264" s="161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AL264" s="119"/>
    </row>
    <row r="265" ht="14.25" customHeight="1">
      <c r="C265" s="119"/>
      <c r="I265" s="161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AL265" s="119"/>
    </row>
    <row r="266" ht="14.25" customHeight="1">
      <c r="C266" s="119"/>
      <c r="I266" s="161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AL266" s="119"/>
    </row>
    <row r="267" ht="14.25" customHeight="1">
      <c r="C267" s="119"/>
      <c r="I267" s="161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AL267" s="119"/>
    </row>
    <row r="268" ht="14.25" customHeight="1">
      <c r="C268" s="119"/>
      <c r="I268" s="161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AL268" s="119"/>
    </row>
    <row r="269" ht="14.25" customHeight="1">
      <c r="C269" s="119"/>
      <c r="I269" s="161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AL269" s="119"/>
    </row>
    <row r="270" ht="14.25" customHeight="1">
      <c r="C270" s="119"/>
      <c r="I270" s="161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AL270" s="119"/>
    </row>
    <row r="271" ht="14.25" customHeight="1">
      <c r="C271" s="119"/>
      <c r="I271" s="161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AL271" s="119"/>
    </row>
    <row r="272" ht="14.25" customHeight="1">
      <c r="C272" s="119"/>
      <c r="I272" s="161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AL272" s="119"/>
    </row>
    <row r="273" ht="14.25" customHeight="1">
      <c r="C273" s="119"/>
      <c r="I273" s="161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AL273" s="119"/>
    </row>
    <row r="274" ht="14.25" customHeight="1">
      <c r="C274" s="119"/>
      <c r="I274" s="161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AL274" s="119"/>
    </row>
    <row r="275" ht="14.25" customHeight="1">
      <c r="C275" s="119"/>
      <c r="I275" s="161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AL275" s="119"/>
    </row>
    <row r="276" ht="14.25" customHeight="1">
      <c r="C276" s="119"/>
      <c r="I276" s="161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AL276" s="119"/>
    </row>
    <row r="277" ht="14.25" customHeight="1">
      <c r="C277" s="119"/>
      <c r="I277" s="161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AL277" s="119"/>
    </row>
    <row r="278" ht="14.25" customHeight="1">
      <c r="C278" s="119"/>
      <c r="I278" s="161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AL278" s="119"/>
    </row>
    <row r="279" ht="14.25" customHeight="1">
      <c r="C279" s="119"/>
      <c r="I279" s="161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AL279" s="119"/>
    </row>
    <row r="280" ht="14.25" customHeight="1">
      <c r="C280" s="119"/>
      <c r="I280" s="161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AL280" s="119"/>
    </row>
    <row r="281" ht="14.25" customHeight="1">
      <c r="C281" s="119"/>
      <c r="I281" s="161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AL281" s="119"/>
    </row>
    <row r="282" ht="14.25" customHeight="1">
      <c r="C282" s="119"/>
      <c r="I282" s="161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AL282" s="119"/>
    </row>
    <row r="283" ht="14.25" customHeight="1">
      <c r="C283" s="119"/>
      <c r="I283" s="161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AL283" s="119"/>
    </row>
    <row r="284" ht="14.25" customHeight="1">
      <c r="C284" s="119"/>
      <c r="I284" s="161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AL284" s="119"/>
    </row>
    <row r="285" ht="14.25" customHeight="1">
      <c r="C285" s="119"/>
      <c r="I285" s="161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AL285" s="119"/>
    </row>
    <row r="286" ht="14.25" customHeight="1">
      <c r="C286" s="119"/>
      <c r="I286" s="161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AL286" s="119"/>
    </row>
    <row r="287" ht="14.25" customHeight="1">
      <c r="C287" s="119"/>
      <c r="I287" s="161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AL287" s="119"/>
    </row>
    <row r="288" ht="14.25" customHeight="1">
      <c r="C288" s="119"/>
      <c r="I288" s="161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AL288" s="119"/>
    </row>
    <row r="289" ht="14.25" customHeight="1">
      <c r="C289" s="119"/>
      <c r="I289" s="161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AL289" s="119"/>
    </row>
    <row r="290" ht="14.25" customHeight="1">
      <c r="C290" s="119"/>
      <c r="I290" s="161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AL290" s="119"/>
    </row>
    <row r="291" ht="14.25" customHeight="1">
      <c r="C291" s="119"/>
      <c r="I291" s="161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AL291" s="119"/>
    </row>
    <row r="292" ht="14.25" customHeight="1">
      <c r="C292" s="119"/>
      <c r="I292" s="161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AL292" s="119"/>
    </row>
    <row r="293" ht="14.25" customHeight="1">
      <c r="C293" s="119"/>
      <c r="I293" s="161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AL293" s="119"/>
    </row>
    <row r="294" ht="14.25" customHeight="1">
      <c r="C294" s="119"/>
      <c r="I294" s="161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AL294" s="119"/>
    </row>
    <row r="295" ht="14.25" customHeight="1">
      <c r="C295" s="119"/>
      <c r="I295" s="161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AL295" s="119"/>
    </row>
    <row r="296" ht="14.25" customHeight="1">
      <c r="C296" s="119"/>
      <c r="I296" s="161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AL296" s="119"/>
    </row>
    <row r="297" ht="14.25" customHeight="1">
      <c r="C297" s="119"/>
      <c r="I297" s="161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AL297" s="119"/>
    </row>
    <row r="298" ht="14.25" customHeight="1">
      <c r="C298" s="119"/>
      <c r="I298" s="161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AL298" s="119"/>
    </row>
    <row r="299" ht="14.25" customHeight="1">
      <c r="C299" s="119"/>
      <c r="I299" s="161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AL299" s="119"/>
    </row>
    <row r="300" ht="14.25" customHeight="1">
      <c r="C300" s="119"/>
      <c r="I300" s="161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AL300" s="119"/>
    </row>
    <row r="301" ht="14.25" customHeight="1">
      <c r="C301" s="119"/>
      <c r="I301" s="161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AL301" s="119"/>
    </row>
    <row r="302" ht="14.25" customHeight="1">
      <c r="C302" s="119"/>
      <c r="I302" s="161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AL302" s="119"/>
    </row>
    <row r="303" ht="14.25" customHeight="1">
      <c r="C303" s="119"/>
      <c r="I303" s="161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AL303" s="119"/>
    </row>
    <row r="304" ht="14.25" customHeight="1">
      <c r="C304" s="119"/>
      <c r="I304" s="161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AL304" s="119"/>
    </row>
    <row r="305" ht="14.25" customHeight="1">
      <c r="C305" s="119"/>
      <c r="I305" s="161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AL305" s="119"/>
    </row>
    <row r="306" ht="14.25" customHeight="1">
      <c r="C306" s="119"/>
      <c r="I306" s="161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AL306" s="119"/>
    </row>
    <row r="307" ht="14.25" customHeight="1">
      <c r="C307" s="119"/>
      <c r="I307" s="161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AL307" s="119"/>
    </row>
    <row r="308" ht="14.25" customHeight="1">
      <c r="C308" s="119"/>
      <c r="I308" s="161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AL308" s="119"/>
    </row>
    <row r="309" ht="14.25" customHeight="1">
      <c r="C309" s="119"/>
      <c r="I309" s="161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AL309" s="119"/>
    </row>
    <row r="310" ht="14.25" customHeight="1">
      <c r="C310" s="119"/>
      <c r="I310" s="161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AL310" s="119"/>
    </row>
    <row r="311" ht="14.25" customHeight="1">
      <c r="C311" s="119"/>
      <c r="I311" s="161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AL311" s="119"/>
    </row>
    <row r="312" ht="14.25" customHeight="1">
      <c r="C312" s="119"/>
      <c r="I312" s="161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AL312" s="119"/>
    </row>
    <row r="313" ht="14.25" customHeight="1">
      <c r="C313" s="119"/>
      <c r="I313" s="161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AL313" s="119"/>
    </row>
    <row r="314" ht="14.25" customHeight="1">
      <c r="C314" s="119"/>
      <c r="I314" s="161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AL314" s="119"/>
    </row>
    <row r="315" ht="14.25" customHeight="1">
      <c r="C315" s="119"/>
      <c r="I315" s="161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AL315" s="119"/>
    </row>
    <row r="316" ht="14.25" customHeight="1">
      <c r="C316" s="119"/>
      <c r="I316" s="161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AL316" s="119"/>
    </row>
    <row r="317" ht="14.25" customHeight="1">
      <c r="C317" s="119"/>
      <c r="I317" s="161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AL317" s="119"/>
    </row>
    <row r="318" ht="14.25" customHeight="1">
      <c r="C318" s="119"/>
      <c r="I318" s="161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AL318" s="119"/>
    </row>
    <row r="319" ht="14.25" customHeight="1">
      <c r="C319" s="119"/>
      <c r="I319" s="161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AL319" s="119"/>
    </row>
    <row r="320" ht="14.25" customHeight="1">
      <c r="C320" s="119"/>
      <c r="I320" s="161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AL320" s="119"/>
    </row>
    <row r="321" ht="14.25" customHeight="1">
      <c r="C321" s="119"/>
      <c r="I321" s="161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AL321" s="119"/>
    </row>
    <row r="322" ht="14.25" customHeight="1">
      <c r="C322" s="119"/>
      <c r="I322" s="161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AL322" s="119"/>
    </row>
    <row r="323" ht="14.25" customHeight="1">
      <c r="C323" s="119"/>
      <c r="I323" s="161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AL323" s="119"/>
    </row>
    <row r="324" ht="14.25" customHeight="1">
      <c r="C324" s="119"/>
      <c r="I324" s="161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AL324" s="119"/>
    </row>
    <row r="325" ht="14.25" customHeight="1">
      <c r="C325" s="119"/>
      <c r="I325" s="161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AL325" s="119"/>
    </row>
    <row r="326" ht="14.25" customHeight="1">
      <c r="C326" s="119"/>
      <c r="I326" s="161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AL326" s="119"/>
    </row>
    <row r="327" ht="14.25" customHeight="1">
      <c r="C327" s="119"/>
      <c r="I327" s="161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AL327" s="119"/>
    </row>
    <row r="328" ht="14.25" customHeight="1">
      <c r="C328" s="119"/>
      <c r="I328" s="161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AL328" s="119"/>
    </row>
    <row r="329" ht="14.25" customHeight="1">
      <c r="C329" s="119"/>
      <c r="I329" s="161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AL329" s="119"/>
    </row>
    <row r="330" ht="14.25" customHeight="1">
      <c r="C330" s="119"/>
      <c r="I330" s="161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AL330" s="119"/>
    </row>
    <row r="331" ht="14.25" customHeight="1">
      <c r="C331" s="119"/>
      <c r="I331" s="161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AL331" s="119"/>
    </row>
    <row r="332" ht="14.25" customHeight="1">
      <c r="C332" s="119"/>
      <c r="I332" s="161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AL332" s="119"/>
    </row>
    <row r="333" ht="14.25" customHeight="1">
      <c r="C333" s="119"/>
      <c r="I333" s="161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AL333" s="119"/>
    </row>
    <row r="334" ht="14.25" customHeight="1">
      <c r="C334" s="119"/>
      <c r="I334" s="161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AL334" s="119"/>
    </row>
    <row r="335" ht="14.25" customHeight="1">
      <c r="C335" s="119"/>
      <c r="I335" s="161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AL335" s="119"/>
    </row>
    <row r="336" ht="14.25" customHeight="1">
      <c r="C336" s="119"/>
      <c r="I336" s="161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AL336" s="119"/>
    </row>
    <row r="337" ht="14.25" customHeight="1">
      <c r="C337" s="119"/>
      <c r="I337" s="161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AL337" s="119"/>
    </row>
    <row r="338" ht="14.25" customHeight="1">
      <c r="C338" s="119"/>
      <c r="I338" s="161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AL338" s="119"/>
    </row>
    <row r="339" ht="14.25" customHeight="1">
      <c r="C339" s="119"/>
      <c r="I339" s="161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AL339" s="119"/>
    </row>
    <row r="340" ht="14.25" customHeight="1">
      <c r="C340" s="119"/>
      <c r="I340" s="161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AL340" s="119"/>
    </row>
    <row r="341" ht="14.25" customHeight="1">
      <c r="C341" s="119"/>
      <c r="I341" s="161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AL341" s="119"/>
    </row>
    <row r="342" ht="14.25" customHeight="1">
      <c r="C342" s="119"/>
      <c r="I342" s="161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AL342" s="119"/>
    </row>
    <row r="343" ht="14.25" customHeight="1">
      <c r="C343" s="119"/>
      <c r="I343" s="161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AL343" s="119"/>
    </row>
    <row r="344" ht="14.25" customHeight="1">
      <c r="C344" s="119"/>
      <c r="I344" s="161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AL344" s="119"/>
    </row>
    <row r="345" ht="14.25" customHeight="1">
      <c r="C345" s="119"/>
      <c r="I345" s="161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AL345" s="119"/>
    </row>
    <row r="346" ht="14.25" customHeight="1">
      <c r="C346" s="119"/>
      <c r="I346" s="161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AL346" s="119"/>
    </row>
    <row r="347" ht="14.25" customHeight="1">
      <c r="C347" s="119"/>
      <c r="I347" s="161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AL347" s="119"/>
    </row>
    <row r="348" ht="14.25" customHeight="1">
      <c r="C348" s="119"/>
      <c r="I348" s="161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AL348" s="119"/>
    </row>
    <row r="349" ht="14.25" customHeight="1">
      <c r="C349" s="119"/>
      <c r="I349" s="161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AL349" s="119"/>
    </row>
    <row r="350" ht="14.25" customHeight="1">
      <c r="C350" s="119"/>
      <c r="I350" s="161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AL350" s="119"/>
    </row>
    <row r="351" ht="14.25" customHeight="1">
      <c r="C351" s="119"/>
      <c r="I351" s="161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AL351" s="119"/>
    </row>
    <row r="352" ht="14.25" customHeight="1">
      <c r="C352" s="119"/>
      <c r="I352" s="161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AL352" s="119"/>
    </row>
    <row r="353" ht="14.25" customHeight="1">
      <c r="C353" s="119"/>
      <c r="I353" s="161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AL353" s="119"/>
    </row>
    <row r="354" ht="14.25" customHeight="1">
      <c r="C354" s="119"/>
      <c r="I354" s="161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AL354" s="119"/>
    </row>
    <row r="355" ht="14.25" customHeight="1">
      <c r="C355" s="119"/>
      <c r="I355" s="161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AL355" s="119"/>
    </row>
    <row r="356" ht="14.25" customHeight="1">
      <c r="C356" s="119"/>
      <c r="I356" s="161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AL356" s="119"/>
    </row>
    <row r="357" ht="14.25" customHeight="1">
      <c r="C357" s="119"/>
      <c r="I357" s="161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AL357" s="119"/>
    </row>
    <row r="358" ht="14.25" customHeight="1">
      <c r="C358" s="119"/>
      <c r="I358" s="161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AL358" s="119"/>
    </row>
    <row r="359" ht="14.25" customHeight="1">
      <c r="C359" s="119"/>
      <c r="I359" s="161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AL359" s="119"/>
    </row>
    <row r="360" ht="14.25" customHeight="1">
      <c r="C360" s="119"/>
      <c r="I360" s="161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AL360" s="119"/>
    </row>
    <row r="361" ht="14.25" customHeight="1">
      <c r="C361" s="119"/>
      <c r="I361" s="161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AL361" s="119"/>
    </row>
    <row r="362" ht="14.25" customHeight="1">
      <c r="C362" s="119"/>
      <c r="I362" s="161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AL362" s="119"/>
    </row>
    <row r="363" ht="14.25" customHeight="1">
      <c r="C363" s="119"/>
      <c r="I363" s="161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AL363" s="119"/>
    </row>
    <row r="364" ht="14.25" customHeight="1">
      <c r="C364" s="119"/>
      <c r="I364" s="161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AL364" s="119"/>
    </row>
    <row r="365" ht="14.25" customHeight="1">
      <c r="C365" s="119"/>
      <c r="I365" s="161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AL365" s="119"/>
    </row>
    <row r="366" ht="14.25" customHeight="1">
      <c r="C366" s="119"/>
      <c r="I366" s="161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AL366" s="119"/>
    </row>
    <row r="367" ht="14.25" customHeight="1">
      <c r="C367" s="119"/>
      <c r="I367" s="161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AL367" s="119"/>
    </row>
    <row r="368" ht="14.25" customHeight="1">
      <c r="C368" s="119"/>
      <c r="I368" s="161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AL368" s="119"/>
    </row>
    <row r="369" ht="14.25" customHeight="1">
      <c r="C369" s="119"/>
      <c r="I369" s="161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AL369" s="119"/>
    </row>
    <row r="370" ht="14.25" customHeight="1">
      <c r="C370" s="119"/>
      <c r="I370" s="161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AL370" s="119"/>
    </row>
    <row r="371" ht="14.25" customHeight="1">
      <c r="C371" s="119"/>
      <c r="I371" s="161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AL371" s="119"/>
    </row>
    <row r="372" ht="14.25" customHeight="1">
      <c r="C372" s="119"/>
      <c r="I372" s="161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AL372" s="119"/>
    </row>
    <row r="373" ht="14.25" customHeight="1">
      <c r="C373" s="119"/>
      <c r="I373" s="161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AL373" s="119"/>
    </row>
    <row r="374" ht="14.25" customHeight="1">
      <c r="C374" s="119"/>
      <c r="I374" s="161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AL374" s="119"/>
    </row>
    <row r="375" ht="14.25" customHeight="1">
      <c r="C375" s="119"/>
      <c r="I375" s="161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AL375" s="119"/>
    </row>
    <row r="376" ht="14.25" customHeight="1">
      <c r="C376" s="119"/>
      <c r="I376" s="161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AL376" s="119"/>
    </row>
    <row r="377" ht="14.25" customHeight="1">
      <c r="C377" s="119"/>
      <c r="I377" s="161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AL377" s="119"/>
    </row>
    <row r="378" ht="14.25" customHeight="1">
      <c r="C378" s="119"/>
      <c r="I378" s="161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AL378" s="119"/>
    </row>
    <row r="379" ht="14.25" customHeight="1">
      <c r="C379" s="119"/>
      <c r="I379" s="161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AL379" s="119"/>
    </row>
    <row r="380" ht="14.25" customHeight="1">
      <c r="C380" s="119"/>
      <c r="I380" s="161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AL380" s="119"/>
    </row>
    <row r="381" ht="14.25" customHeight="1">
      <c r="C381" s="119"/>
      <c r="I381" s="161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AL381" s="119"/>
    </row>
    <row r="382" ht="14.25" customHeight="1">
      <c r="C382" s="119"/>
      <c r="I382" s="161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AL382" s="119"/>
    </row>
    <row r="383" ht="14.25" customHeight="1">
      <c r="C383" s="119"/>
      <c r="I383" s="161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AL383" s="119"/>
    </row>
    <row r="384" ht="14.25" customHeight="1">
      <c r="C384" s="119"/>
      <c r="I384" s="161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AL384" s="119"/>
    </row>
    <row r="385" ht="14.25" customHeight="1">
      <c r="C385" s="119"/>
      <c r="I385" s="161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AL385" s="119"/>
    </row>
    <row r="386" ht="14.25" customHeight="1">
      <c r="C386" s="119"/>
      <c r="I386" s="161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AL386" s="119"/>
    </row>
    <row r="387" ht="14.25" customHeight="1">
      <c r="C387" s="119"/>
      <c r="I387" s="161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AL387" s="119"/>
    </row>
    <row r="388" ht="14.25" customHeight="1">
      <c r="C388" s="119"/>
      <c r="I388" s="161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AL388" s="119"/>
    </row>
    <row r="389" ht="14.25" customHeight="1">
      <c r="C389" s="119"/>
      <c r="I389" s="161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AL389" s="119"/>
    </row>
    <row r="390" ht="14.25" customHeight="1">
      <c r="C390" s="119"/>
      <c r="I390" s="161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AL390" s="119"/>
    </row>
    <row r="391" ht="14.25" customHeight="1">
      <c r="C391" s="119"/>
      <c r="I391" s="161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AL391" s="119"/>
    </row>
    <row r="392" ht="14.25" customHeight="1">
      <c r="C392" s="119"/>
      <c r="I392" s="161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AL392" s="119"/>
    </row>
    <row r="393" ht="14.25" customHeight="1">
      <c r="C393" s="119"/>
      <c r="I393" s="161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AL393" s="119"/>
    </row>
    <row r="394" ht="14.25" customHeight="1">
      <c r="C394" s="119"/>
      <c r="I394" s="161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AL394" s="119"/>
    </row>
    <row r="395" ht="14.25" customHeight="1">
      <c r="C395" s="119"/>
      <c r="I395" s="161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AL395" s="119"/>
    </row>
    <row r="396" ht="14.25" customHeight="1">
      <c r="C396" s="119"/>
      <c r="I396" s="161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AL396" s="119"/>
    </row>
    <row r="397" ht="14.25" customHeight="1">
      <c r="C397" s="119"/>
      <c r="I397" s="161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AL397" s="119"/>
    </row>
    <row r="398" ht="14.25" customHeight="1">
      <c r="C398" s="119"/>
      <c r="I398" s="161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AL398" s="119"/>
    </row>
    <row r="399" ht="14.25" customHeight="1">
      <c r="C399" s="119"/>
      <c r="I399" s="161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AL399" s="119"/>
    </row>
    <row r="400" ht="14.25" customHeight="1">
      <c r="C400" s="119"/>
      <c r="I400" s="161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AL400" s="119"/>
    </row>
    <row r="401" ht="14.25" customHeight="1">
      <c r="C401" s="119"/>
      <c r="I401" s="161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AL401" s="119"/>
    </row>
    <row r="402" ht="14.25" customHeight="1">
      <c r="C402" s="119"/>
      <c r="I402" s="161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AL402" s="119"/>
    </row>
    <row r="403" ht="14.25" customHeight="1">
      <c r="C403" s="119"/>
      <c r="I403" s="161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AL403" s="119"/>
    </row>
    <row r="404" ht="14.25" customHeight="1">
      <c r="C404" s="119"/>
      <c r="I404" s="161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AL404" s="119"/>
    </row>
    <row r="405" ht="14.25" customHeight="1">
      <c r="C405" s="119"/>
      <c r="I405" s="161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AL405" s="119"/>
    </row>
    <row r="406" ht="14.25" customHeight="1">
      <c r="C406" s="119"/>
      <c r="I406" s="161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AL406" s="119"/>
    </row>
    <row r="407" ht="14.25" customHeight="1">
      <c r="C407" s="119"/>
      <c r="I407" s="161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AL407" s="119"/>
    </row>
    <row r="408" ht="14.25" customHeight="1">
      <c r="C408" s="119"/>
      <c r="I408" s="161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AL408" s="119"/>
    </row>
    <row r="409" ht="14.25" customHeight="1">
      <c r="C409" s="119"/>
      <c r="I409" s="161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AL409" s="119"/>
    </row>
    <row r="410" ht="14.25" customHeight="1">
      <c r="C410" s="119"/>
      <c r="I410" s="161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AL410" s="119"/>
    </row>
    <row r="411" ht="14.25" customHeight="1">
      <c r="C411" s="119"/>
      <c r="I411" s="161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AL411" s="119"/>
    </row>
    <row r="412" ht="14.25" customHeight="1">
      <c r="C412" s="119"/>
      <c r="I412" s="161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AL412" s="119"/>
    </row>
    <row r="413" ht="14.25" customHeight="1">
      <c r="C413" s="119"/>
      <c r="I413" s="161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AL413" s="119"/>
    </row>
    <row r="414" ht="14.25" customHeight="1">
      <c r="C414" s="119"/>
      <c r="I414" s="161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AL414" s="119"/>
    </row>
    <row r="415" ht="14.25" customHeight="1">
      <c r="C415" s="119"/>
      <c r="I415" s="161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AL415" s="119"/>
    </row>
    <row r="416" ht="14.25" customHeight="1">
      <c r="C416" s="119"/>
      <c r="I416" s="161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AL416" s="119"/>
    </row>
    <row r="417" ht="14.25" customHeight="1">
      <c r="C417" s="119"/>
      <c r="I417" s="161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AL417" s="119"/>
    </row>
    <row r="418" ht="14.25" customHeight="1">
      <c r="C418" s="119"/>
      <c r="I418" s="161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AL418" s="119"/>
    </row>
    <row r="419" ht="14.25" customHeight="1">
      <c r="C419" s="119"/>
      <c r="I419" s="161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AL419" s="119"/>
    </row>
    <row r="420" ht="14.25" customHeight="1">
      <c r="C420" s="119"/>
      <c r="I420" s="161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AL420" s="119"/>
    </row>
    <row r="421" ht="14.25" customHeight="1">
      <c r="C421" s="119"/>
      <c r="I421" s="161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AL421" s="119"/>
    </row>
    <row r="422" ht="14.25" customHeight="1">
      <c r="C422" s="119"/>
      <c r="I422" s="161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AL422" s="119"/>
    </row>
    <row r="423" ht="14.25" customHeight="1">
      <c r="C423" s="119"/>
      <c r="I423" s="161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AL423" s="119"/>
    </row>
    <row r="424" ht="14.25" customHeight="1">
      <c r="C424" s="119"/>
      <c r="I424" s="161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AL424" s="119"/>
    </row>
    <row r="425" ht="14.25" customHeight="1">
      <c r="C425" s="119"/>
      <c r="I425" s="161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AL425" s="119"/>
    </row>
    <row r="426" ht="14.25" customHeight="1">
      <c r="C426" s="119"/>
      <c r="I426" s="161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AL426" s="119"/>
    </row>
    <row r="427" ht="14.25" customHeight="1">
      <c r="C427" s="119"/>
      <c r="I427" s="161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AL427" s="119"/>
    </row>
    <row r="428" ht="14.25" customHeight="1">
      <c r="C428" s="119"/>
      <c r="I428" s="161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AL428" s="119"/>
    </row>
    <row r="429" ht="14.25" customHeight="1">
      <c r="C429" s="119"/>
      <c r="I429" s="161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AL429" s="119"/>
    </row>
    <row r="430" ht="14.25" customHeight="1">
      <c r="C430" s="119"/>
      <c r="I430" s="161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AL430" s="119"/>
    </row>
    <row r="431" ht="14.25" customHeight="1">
      <c r="C431" s="119"/>
      <c r="I431" s="161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AL431" s="119"/>
    </row>
    <row r="432" ht="14.25" customHeight="1">
      <c r="C432" s="119"/>
      <c r="I432" s="161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AL432" s="119"/>
    </row>
    <row r="433" ht="14.25" customHeight="1">
      <c r="C433" s="119"/>
      <c r="I433" s="161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AL433" s="119"/>
    </row>
    <row r="434" ht="14.25" customHeight="1">
      <c r="C434" s="119"/>
      <c r="I434" s="161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AL434" s="119"/>
    </row>
    <row r="435" ht="14.25" customHeight="1">
      <c r="C435" s="119"/>
      <c r="I435" s="161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AL435" s="119"/>
    </row>
    <row r="436" ht="14.25" customHeight="1">
      <c r="C436" s="119"/>
      <c r="I436" s="161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AL436" s="119"/>
    </row>
    <row r="437" ht="14.25" customHeight="1">
      <c r="C437" s="119"/>
      <c r="I437" s="161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AL437" s="119"/>
    </row>
    <row r="438" ht="14.25" customHeight="1">
      <c r="C438" s="119"/>
      <c r="I438" s="161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AL438" s="119"/>
    </row>
    <row r="439" ht="14.25" customHeight="1">
      <c r="C439" s="119"/>
      <c r="I439" s="161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AL439" s="119"/>
    </row>
    <row r="440" ht="14.25" customHeight="1">
      <c r="C440" s="119"/>
      <c r="I440" s="161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AL440" s="119"/>
    </row>
    <row r="441" ht="14.25" customHeight="1">
      <c r="C441" s="119"/>
      <c r="I441" s="161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AL441" s="119"/>
    </row>
    <row r="442" ht="14.25" customHeight="1">
      <c r="C442" s="119"/>
      <c r="I442" s="161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AL442" s="119"/>
    </row>
    <row r="443" ht="14.25" customHeight="1">
      <c r="C443" s="119"/>
      <c r="I443" s="161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AL443" s="119"/>
    </row>
    <row r="444" ht="14.25" customHeight="1">
      <c r="C444" s="119"/>
      <c r="I444" s="161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AL444" s="119"/>
    </row>
    <row r="445" ht="14.25" customHeight="1">
      <c r="C445" s="119"/>
      <c r="I445" s="161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AL445" s="119"/>
    </row>
    <row r="446" ht="14.25" customHeight="1">
      <c r="C446" s="119"/>
      <c r="I446" s="161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AL446" s="119"/>
    </row>
    <row r="447" ht="14.25" customHeight="1">
      <c r="C447" s="119"/>
      <c r="I447" s="161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AL447" s="119"/>
    </row>
    <row r="448" ht="14.25" customHeight="1">
      <c r="C448" s="119"/>
      <c r="I448" s="161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AL448" s="119"/>
    </row>
    <row r="449" ht="14.25" customHeight="1">
      <c r="C449" s="119"/>
      <c r="I449" s="161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AL449" s="119"/>
    </row>
    <row r="450" ht="14.25" customHeight="1">
      <c r="C450" s="119"/>
      <c r="I450" s="161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AL450" s="119"/>
    </row>
    <row r="451" ht="14.25" customHeight="1">
      <c r="C451" s="119"/>
      <c r="I451" s="161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AL451" s="119"/>
    </row>
    <row r="452" ht="14.25" customHeight="1">
      <c r="C452" s="119"/>
      <c r="I452" s="161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AL452" s="119"/>
    </row>
    <row r="453" ht="14.25" customHeight="1">
      <c r="C453" s="119"/>
      <c r="I453" s="161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AL453" s="119"/>
    </row>
    <row r="454" ht="14.25" customHeight="1">
      <c r="C454" s="119"/>
      <c r="I454" s="161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AL454" s="119"/>
    </row>
    <row r="455" ht="14.25" customHeight="1">
      <c r="C455" s="119"/>
      <c r="I455" s="161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AL455" s="119"/>
    </row>
    <row r="456" ht="14.25" customHeight="1">
      <c r="C456" s="119"/>
      <c r="I456" s="161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AL456" s="119"/>
    </row>
    <row r="457" ht="14.25" customHeight="1">
      <c r="C457" s="119"/>
      <c r="I457" s="161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AL457" s="119"/>
    </row>
    <row r="458" ht="14.25" customHeight="1">
      <c r="C458" s="119"/>
      <c r="I458" s="161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AL458" s="119"/>
    </row>
    <row r="459" ht="14.25" customHeight="1">
      <c r="C459" s="119"/>
      <c r="I459" s="161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AL459" s="119"/>
    </row>
    <row r="460" ht="14.25" customHeight="1">
      <c r="C460" s="119"/>
      <c r="I460" s="161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AL460" s="119"/>
    </row>
    <row r="461" ht="14.25" customHeight="1">
      <c r="C461" s="119"/>
      <c r="I461" s="161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AL461" s="119"/>
    </row>
    <row r="462" ht="14.25" customHeight="1">
      <c r="C462" s="119"/>
      <c r="I462" s="161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AL462" s="119"/>
    </row>
    <row r="463" ht="14.25" customHeight="1">
      <c r="C463" s="119"/>
      <c r="I463" s="161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AL463" s="119"/>
    </row>
    <row r="464" ht="14.25" customHeight="1">
      <c r="C464" s="119"/>
      <c r="I464" s="161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AL464" s="119"/>
    </row>
    <row r="465" ht="14.25" customHeight="1">
      <c r="C465" s="119"/>
      <c r="I465" s="161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AL465" s="119"/>
    </row>
    <row r="466" ht="14.25" customHeight="1">
      <c r="C466" s="119"/>
      <c r="I466" s="161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AL466" s="119"/>
    </row>
    <row r="467" ht="14.25" customHeight="1">
      <c r="C467" s="119"/>
      <c r="I467" s="161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AL467" s="119"/>
    </row>
    <row r="468" ht="14.25" customHeight="1">
      <c r="C468" s="119"/>
      <c r="I468" s="161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AL468" s="119"/>
    </row>
    <row r="469" ht="14.25" customHeight="1">
      <c r="C469" s="119"/>
      <c r="I469" s="161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AL469" s="119"/>
    </row>
    <row r="470" ht="14.25" customHeight="1">
      <c r="C470" s="119"/>
      <c r="I470" s="161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AL470" s="119"/>
    </row>
    <row r="471" ht="14.25" customHeight="1">
      <c r="C471" s="119"/>
      <c r="I471" s="161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AL471" s="119"/>
    </row>
    <row r="472" ht="14.25" customHeight="1">
      <c r="C472" s="119"/>
      <c r="I472" s="161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AL472" s="119"/>
    </row>
    <row r="473" ht="14.25" customHeight="1">
      <c r="C473" s="119"/>
      <c r="I473" s="161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AL473" s="119"/>
    </row>
    <row r="474" ht="14.25" customHeight="1">
      <c r="C474" s="119"/>
      <c r="I474" s="161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AL474" s="119"/>
    </row>
    <row r="475" ht="14.25" customHeight="1">
      <c r="C475" s="119"/>
      <c r="I475" s="161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AL475" s="119"/>
    </row>
    <row r="476" ht="14.25" customHeight="1">
      <c r="C476" s="119"/>
      <c r="I476" s="161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AL476" s="119"/>
    </row>
    <row r="477" ht="14.25" customHeight="1">
      <c r="C477" s="119"/>
      <c r="I477" s="161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AL477" s="119"/>
    </row>
    <row r="478" ht="14.25" customHeight="1">
      <c r="C478" s="119"/>
      <c r="I478" s="161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AL478" s="119"/>
    </row>
    <row r="479" ht="14.25" customHeight="1">
      <c r="C479" s="119"/>
      <c r="I479" s="161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AL479" s="119"/>
    </row>
    <row r="480" ht="14.25" customHeight="1">
      <c r="C480" s="119"/>
      <c r="I480" s="161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AL480" s="119"/>
    </row>
    <row r="481" ht="14.25" customHeight="1">
      <c r="C481" s="119"/>
      <c r="I481" s="161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AL481" s="119"/>
    </row>
    <row r="482" ht="14.25" customHeight="1">
      <c r="C482" s="119"/>
      <c r="I482" s="161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AL482" s="119"/>
    </row>
    <row r="483" ht="14.25" customHeight="1">
      <c r="C483" s="119"/>
      <c r="I483" s="161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AL483" s="119"/>
    </row>
    <row r="484" ht="14.25" customHeight="1">
      <c r="C484" s="119"/>
      <c r="I484" s="161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AL484" s="119"/>
    </row>
    <row r="485" ht="14.25" customHeight="1">
      <c r="C485" s="119"/>
      <c r="I485" s="161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AL485" s="119"/>
    </row>
    <row r="486" ht="14.25" customHeight="1">
      <c r="C486" s="119"/>
      <c r="I486" s="161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AL486" s="119"/>
    </row>
    <row r="487" ht="14.25" customHeight="1">
      <c r="C487" s="119"/>
      <c r="I487" s="161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AL487" s="119"/>
    </row>
    <row r="488" ht="14.25" customHeight="1">
      <c r="C488" s="119"/>
      <c r="I488" s="161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AL488" s="119"/>
    </row>
    <row r="489" ht="14.25" customHeight="1">
      <c r="C489" s="119"/>
      <c r="I489" s="161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AL489" s="119"/>
    </row>
    <row r="490" ht="14.25" customHeight="1">
      <c r="C490" s="119"/>
      <c r="I490" s="161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AL490" s="119"/>
    </row>
    <row r="491" ht="14.25" customHeight="1">
      <c r="C491" s="119"/>
      <c r="I491" s="161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AL491" s="119"/>
    </row>
    <row r="492" ht="14.25" customHeight="1">
      <c r="C492" s="119"/>
      <c r="I492" s="161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AL492" s="119"/>
    </row>
    <row r="493" ht="14.25" customHeight="1">
      <c r="C493" s="119"/>
      <c r="I493" s="161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AL493" s="119"/>
    </row>
    <row r="494" ht="14.25" customHeight="1">
      <c r="C494" s="119"/>
      <c r="I494" s="161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AL494" s="119"/>
    </row>
    <row r="495" ht="14.25" customHeight="1">
      <c r="C495" s="119"/>
      <c r="I495" s="161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AL495" s="119"/>
    </row>
    <row r="496" ht="14.25" customHeight="1">
      <c r="C496" s="119"/>
      <c r="I496" s="161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AL496" s="119"/>
    </row>
    <row r="497" ht="14.25" customHeight="1">
      <c r="C497" s="119"/>
      <c r="I497" s="161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AL497" s="119"/>
    </row>
    <row r="498" ht="14.25" customHeight="1">
      <c r="C498" s="119"/>
      <c r="I498" s="161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AL498" s="119"/>
    </row>
    <row r="499" ht="14.25" customHeight="1">
      <c r="C499" s="119"/>
      <c r="I499" s="161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AL499" s="119"/>
    </row>
    <row r="500" ht="14.25" customHeight="1">
      <c r="C500" s="119"/>
      <c r="I500" s="161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AL500" s="119"/>
    </row>
    <row r="501" ht="14.25" customHeight="1">
      <c r="C501" s="119"/>
      <c r="I501" s="161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AL501" s="119"/>
    </row>
    <row r="502" ht="14.25" customHeight="1">
      <c r="C502" s="119"/>
      <c r="I502" s="161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AL502" s="119"/>
    </row>
    <row r="503" ht="14.25" customHeight="1">
      <c r="C503" s="119"/>
      <c r="I503" s="161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AL503" s="119"/>
    </row>
    <row r="504" ht="14.25" customHeight="1">
      <c r="C504" s="119"/>
      <c r="I504" s="161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AL504" s="119"/>
    </row>
    <row r="505" ht="14.25" customHeight="1">
      <c r="C505" s="119"/>
      <c r="I505" s="161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AL505" s="119"/>
    </row>
    <row r="506" ht="14.25" customHeight="1">
      <c r="C506" s="119"/>
      <c r="I506" s="161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AL506" s="119"/>
    </row>
    <row r="507" ht="14.25" customHeight="1">
      <c r="C507" s="119"/>
      <c r="I507" s="161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AL507" s="119"/>
    </row>
    <row r="508" ht="14.25" customHeight="1">
      <c r="C508" s="119"/>
      <c r="I508" s="161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AL508" s="119"/>
    </row>
    <row r="509" ht="14.25" customHeight="1">
      <c r="C509" s="119"/>
      <c r="I509" s="161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AL509" s="119"/>
    </row>
    <row r="510" ht="14.25" customHeight="1">
      <c r="C510" s="119"/>
      <c r="I510" s="161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AL510" s="119"/>
    </row>
    <row r="511" ht="14.25" customHeight="1">
      <c r="C511" s="119"/>
      <c r="I511" s="161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AL511" s="119"/>
    </row>
    <row r="512" ht="14.25" customHeight="1">
      <c r="C512" s="119"/>
      <c r="I512" s="161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AL512" s="119"/>
    </row>
    <row r="513" ht="14.25" customHeight="1">
      <c r="C513" s="119"/>
      <c r="I513" s="161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AL513" s="119"/>
    </row>
    <row r="514" ht="14.25" customHeight="1">
      <c r="C514" s="119"/>
      <c r="I514" s="161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AL514" s="119"/>
    </row>
    <row r="515" ht="14.25" customHeight="1">
      <c r="C515" s="119"/>
      <c r="I515" s="161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AL515" s="119"/>
    </row>
    <row r="516" ht="14.25" customHeight="1">
      <c r="C516" s="119"/>
      <c r="I516" s="161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AL516" s="119"/>
    </row>
    <row r="517" ht="14.25" customHeight="1">
      <c r="C517" s="119"/>
      <c r="I517" s="161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AL517" s="119"/>
    </row>
    <row r="518" ht="14.25" customHeight="1">
      <c r="C518" s="119"/>
      <c r="I518" s="161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AL518" s="119"/>
    </row>
    <row r="519" ht="14.25" customHeight="1">
      <c r="C519" s="119"/>
      <c r="I519" s="161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AL519" s="119"/>
    </row>
    <row r="520" ht="14.25" customHeight="1">
      <c r="C520" s="119"/>
      <c r="I520" s="161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AL520" s="119"/>
    </row>
    <row r="521" ht="14.25" customHeight="1">
      <c r="C521" s="119"/>
      <c r="I521" s="161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AL521" s="119"/>
    </row>
    <row r="522" ht="14.25" customHeight="1">
      <c r="C522" s="119"/>
      <c r="I522" s="161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AL522" s="119"/>
    </row>
    <row r="523" ht="14.25" customHeight="1">
      <c r="C523" s="119"/>
      <c r="I523" s="161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AL523" s="119"/>
    </row>
    <row r="524" ht="14.25" customHeight="1">
      <c r="C524" s="119"/>
      <c r="I524" s="161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AL524" s="119"/>
    </row>
    <row r="525" ht="14.25" customHeight="1">
      <c r="C525" s="119"/>
      <c r="I525" s="161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AL525" s="119"/>
    </row>
    <row r="526" ht="14.25" customHeight="1">
      <c r="C526" s="119"/>
      <c r="I526" s="161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AL526" s="119"/>
    </row>
    <row r="527" ht="14.25" customHeight="1">
      <c r="C527" s="119"/>
      <c r="I527" s="161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AL527" s="119"/>
    </row>
    <row r="528" ht="14.25" customHeight="1">
      <c r="C528" s="119"/>
      <c r="I528" s="161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AL528" s="119"/>
    </row>
    <row r="529" ht="14.25" customHeight="1">
      <c r="C529" s="119"/>
      <c r="I529" s="161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AL529" s="119"/>
    </row>
    <row r="530" ht="14.25" customHeight="1">
      <c r="C530" s="119"/>
      <c r="I530" s="161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AL530" s="119"/>
    </row>
    <row r="531" ht="14.25" customHeight="1">
      <c r="C531" s="119"/>
      <c r="I531" s="161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AL531" s="119"/>
    </row>
    <row r="532" ht="14.25" customHeight="1">
      <c r="C532" s="119"/>
      <c r="I532" s="161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AL532" s="119"/>
    </row>
    <row r="533" ht="14.25" customHeight="1">
      <c r="C533" s="119"/>
      <c r="I533" s="161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AL533" s="119"/>
    </row>
    <row r="534" ht="14.25" customHeight="1">
      <c r="C534" s="119"/>
      <c r="I534" s="161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AL534" s="119"/>
    </row>
    <row r="535" ht="14.25" customHeight="1">
      <c r="C535" s="119"/>
      <c r="I535" s="161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AL535" s="119"/>
    </row>
    <row r="536" ht="14.25" customHeight="1">
      <c r="C536" s="119"/>
      <c r="I536" s="161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AL536" s="119"/>
    </row>
    <row r="537" ht="14.25" customHeight="1">
      <c r="C537" s="119"/>
      <c r="I537" s="161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AL537" s="119"/>
    </row>
    <row r="538" ht="14.25" customHeight="1">
      <c r="C538" s="119"/>
      <c r="I538" s="161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AL538" s="119"/>
    </row>
    <row r="539" ht="14.25" customHeight="1">
      <c r="C539" s="119"/>
      <c r="I539" s="161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AL539" s="119"/>
    </row>
    <row r="540" ht="14.25" customHeight="1">
      <c r="C540" s="119"/>
      <c r="I540" s="161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AL540" s="119"/>
    </row>
    <row r="541" ht="14.25" customHeight="1">
      <c r="C541" s="119"/>
      <c r="I541" s="161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AL541" s="119"/>
    </row>
    <row r="542" ht="14.25" customHeight="1">
      <c r="C542" s="119"/>
      <c r="I542" s="161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AL542" s="119"/>
    </row>
    <row r="543" ht="14.25" customHeight="1">
      <c r="C543" s="119"/>
      <c r="I543" s="161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AL543" s="119"/>
    </row>
    <row r="544" ht="14.25" customHeight="1">
      <c r="C544" s="119"/>
      <c r="I544" s="161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AL544" s="119"/>
    </row>
    <row r="545" ht="14.25" customHeight="1">
      <c r="C545" s="119"/>
      <c r="I545" s="161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AL545" s="119"/>
    </row>
    <row r="546" ht="14.25" customHeight="1">
      <c r="C546" s="119"/>
      <c r="I546" s="161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AL546" s="119"/>
    </row>
    <row r="547" ht="14.25" customHeight="1">
      <c r="C547" s="119"/>
      <c r="I547" s="161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AL547" s="119"/>
    </row>
    <row r="548" ht="14.25" customHeight="1">
      <c r="C548" s="119"/>
      <c r="I548" s="161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AL548" s="119"/>
    </row>
    <row r="549" ht="14.25" customHeight="1">
      <c r="C549" s="119"/>
      <c r="I549" s="161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AL549" s="119"/>
    </row>
    <row r="550" ht="14.25" customHeight="1">
      <c r="C550" s="119"/>
      <c r="I550" s="161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AL550" s="119"/>
    </row>
    <row r="551" ht="14.25" customHeight="1">
      <c r="C551" s="119"/>
      <c r="I551" s="161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AL551" s="119"/>
    </row>
    <row r="552" ht="14.25" customHeight="1">
      <c r="C552" s="119"/>
      <c r="I552" s="161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AL552" s="119"/>
    </row>
    <row r="553" ht="14.25" customHeight="1">
      <c r="C553" s="119"/>
      <c r="I553" s="161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AL553" s="119"/>
    </row>
    <row r="554" ht="14.25" customHeight="1">
      <c r="C554" s="119"/>
      <c r="I554" s="161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AL554" s="119"/>
    </row>
    <row r="555" ht="14.25" customHeight="1">
      <c r="C555" s="119"/>
      <c r="I555" s="161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AL555" s="119"/>
    </row>
    <row r="556" ht="14.25" customHeight="1">
      <c r="C556" s="119"/>
      <c r="I556" s="161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AL556" s="119"/>
    </row>
    <row r="557" ht="14.25" customHeight="1">
      <c r="C557" s="119"/>
      <c r="I557" s="161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AL557" s="119"/>
    </row>
    <row r="558" ht="14.25" customHeight="1">
      <c r="C558" s="119"/>
      <c r="I558" s="161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AL558" s="119"/>
    </row>
    <row r="559" ht="14.25" customHeight="1">
      <c r="C559" s="119"/>
      <c r="I559" s="161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AL559" s="119"/>
    </row>
    <row r="560" ht="14.25" customHeight="1">
      <c r="C560" s="119"/>
      <c r="I560" s="161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AL560" s="119"/>
    </row>
    <row r="561" ht="14.25" customHeight="1">
      <c r="C561" s="119"/>
      <c r="I561" s="161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AL561" s="119"/>
    </row>
    <row r="562" ht="14.25" customHeight="1">
      <c r="C562" s="119"/>
      <c r="I562" s="161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AL562" s="119"/>
    </row>
    <row r="563" ht="14.25" customHeight="1">
      <c r="C563" s="119"/>
      <c r="I563" s="161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AL563" s="119"/>
    </row>
    <row r="564" ht="14.25" customHeight="1">
      <c r="C564" s="119"/>
      <c r="I564" s="161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AL564" s="119"/>
    </row>
    <row r="565" ht="14.25" customHeight="1">
      <c r="C565" s="119"/>
      <c r="I565" s="161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AL565" s="119"/>
    </row>
    <row r="566" ht="14.25" customHeight="1">
      <c r="C566" s="119"/>
      <c r="I566" s="161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AL566" s="119"/>
    </row>
    <row r="567" ht="14.25" customHeight="1">
      <c r="C567" s="119"/>
      <c r="I567" s="161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AL567" s="119"/>
    </row>
    <row r="568" ht="14.25" customHeight="1">
      <c r="C568" s="119"/>
      <c r="I568" s="161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AL568" s="119"/>
    </row>
    <row r="569" ht="14.25" customHeight="1">
      <c r="C569" s="119"/>
      <c r="I569" s="161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AL569" s="119"/>
    </row>
    <row r="570" ht="14.25" customHeight="1">
      <c r="C570" s="119"/>
      <c r="I570" s="161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AL570" s="119"/>
    </row>
    <row r="571" ht="14.25" customHeight="1">
      <c r="C571" s="119"/>
      <c r="I571" s="161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AL571" s="119"/>
    </row>
    <row r="572" ht="14.25" customHeight="1">
      <c r="C572" s="119"/>
      <c r="I572" s="161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AL572" s="119"/>
    </row>
    <row r="573" ht="14.25" customHeight="1">
      <c r="C573" s="119"/>
      <c r="I573" s="161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AL573" s="119"/>
    </row>
    <row r="574" ht="14.25" customHeight="1">
      <c r="C574" s="119"/>
      <c r="I574" s="161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AL574" s="119"/>
    </row>
    <row r="575" ht="14.25" customHeight="1">
      <c r="C575" s="119"/>
      <c r="I575" s="161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AL575" s="119"/>
    </row>
    <row r="576" ht="14.25" customHeight="1">
      <c r="C576" s="119"/>
      <c r="I576" s="161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AL576" s="119"/>
    </row>
    <row r="577" ht="14.25" customHeight="1">
      <c r="C577" s="119"/>
      <c r="I577" s="161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AL577" s="119"/>
    </row>
    <row r="578" ht="14.25" customHeight="1">
      <c r="C578" s="119"/>
      <c r="I578" s="161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AL578" s="119"/>
    </row>
    <row r="579" ht="14.25" customHeight="1">
      <c r="C579" s="119"/>
      <c r="I579" s="161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AL579" s="119"/>
    </row>
    <row r="580" ht="14.25" customHeight="1">
      <c r="C580" s="119"/>
      <c r="I580" s="161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AL580" s="119"/>
    </row>
    <row r="581" ht="14.25" customHeight="1">
      <c r="C581" s="119"/>
      <c r="I581" s="161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AL581" s="119"/>
    </row>
    <row r="582" ht="14.25" customHeight="1">
      <c r="C582" s="119"/>
      <c r="I582" s="161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AL582" s="119"/>
    </row>
    <row r="583" ht="14.25" customHeight="1">
      <c r="C583" s="119"/>
      <c r="I583" s="161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AL583" s="119"/>
    </row>
    <row r="584" ht="14.25" customHeight="1">
      <c r="C584" s="119"/>
      <c r="I584" s="161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AL584" s="119"/>
    </row>
    <row r="585" ht="14.25" customHeight="1">
      <c r="C585" s="119"/>
      <c r="I585" s="161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AL585" s="119"/>
    </row>
    <row r="586" ht="14.25" customHeight="1">
      <c r="C586" s="119"/>
      <c r="I586" s="161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AL586" s="119"/>
    </row>
    <row r="587" ht="14.25" customHeight="1">
      <c r="C587" s="119"/>
      <c r="I587" s="161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AL587" s="119"/>
    </row>
    <row r="588" ht="14.25" customHeight="1">
      <c r="C588" s="119"/>
      <c r="I588" s="161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AL588" s="119"/>
    </row>
    <row r="589" ht="14.25" customHeight="1">
      <c r="C589" s="119"/>
      <c r="I589" s="161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AL589" s="119"/>
    </row>
    <row r="590" ht="14.25" customHeight="1">
      <c r="C590" s="119"/>
      <c r="I590" s="161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AL590" s="119"/>
    </row>
    <row r="591" ht="14.25" customHeight="1">
      <c r="C591" s="119"/>
      <c r="I591" s="161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AL591" s="119"/>
    </row>
    <row r="592" ht="14.25" customHeight="1">
      <c r="C592" s="119"/>
      <c r="I592" s="161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AL592" s="119"/>
    </row>
    <row r="593" ht="14.25" customHeight="1">
      <c r="C593" s="119"/>
      <c r="I593" s="161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AL593" s="119"/>
    </row>
    <row r="594" ht="14.25" customHeight="1">
      <c r="C594" s="119"/>
      <c r="I594" s="161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AL594" s="119"/>
    </row>
    <row r="595" ht="14.25" customHeight="1">
      <c r="C595" s="119"/>
      <c r="I595" s="161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AL595" s="119"/>
    </row>
    <row r="596" ht="14.25" customHeight="1">
      <c r="C596" s="119"/>
      <c r="I596" s="161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AL596" s="119"/>
    </row>
    <row r="597" ht="14.25" customHeight="1">
      <c r="C597" s="119"/>
      <c r="I597" s="161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AL597" s="119"/>
    </row>
    <row r="598" ht="14.25" customHeight="1">
      <c r="C598" s="119"/>
      <c r="I598" s="161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AL598" s="119"/>
    </row>
    <row r="599" ht="14.25" customHeight="1">
      <c r="C599" s="119"/>
      <c r="I599" s="161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AL599" s="119"/>
    </row>
    <row r="600" ht="14.25" customHeight="1">
      <c r="C600" s="119"/>
      <c r="I600" s="161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AL600" s="119"/>
    </row>
    <row r="601" ht="14.25" customHeight="1">
      <c r="C601" s="119"/>
      <c r="I601" s="161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AL601" s="119"/>
    </row>
    <row r="602" ht="14.25" customHeight="1">
      <c r="C602" s="119"/>
      <c r="I602" s="161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AL602" s="119"/>
    </row>
    <row r="603" ht="14.25" customHeight="1">
      <c r="C603" s="119"/>
      <c r="I603" s="161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AL603" s="119"/>
    </row>
    <row r="604" ht="14.25" customHeight="1">
      <c r="C604" s="119"/>
      <c r="I604" s="161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AL604" s="119"/>
    </row>
    <row r="605" ht="14.25" customHeight="1">
      <c r="C605" s="119"/>
      <c r="I605" s="161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AL605" s="119"/>
    </row>
    <row r="606" ht="14.25" customHeight="1">
      <c r="C606" s="119"/>
      <c r="I606" s="161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AL606" s="119"/>
    </row>
    <row r="607" ht="14.25" customHeight="1">
      <c r="C607" s="119"/>
      <c r="I607" s="161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AL607" s="119"/>
    </row>
    <row r="608" ht="14.25" customHeight="1">
      <c r="C608" s="119"/>
      <c r="I608" s="161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AL608" s="119"/>
    </row>
    <row r="609" ht="14.25" customHeight="1">
      <c r="C609" s="119"/>
      <c r="I609" s="161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AL609" s="119"/>
    </row>
    <row r="610" ht="14.25" customHeight="1">
      <c r="C610" s="119"/>
      <c r="I610" s="161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AL610" s="119"/>
    </row>
    <row r="611" ht="14.25" customHeight="1">
      <c r="C611" s="119"/>
      <c r="I611" s="161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AL611" s="119"/>
    </row>
    <row r="612" ht="14.25" customHeight="1">
      <c r="C612" s="119"/>
      <c r="I612" s="161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AL612" s="119"/>
    </row>
    <row r="613" ht="14.25" customHeight="1">
      <c r="C613" s="119"/>
      <c r="I613" s="161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AL613" s="119"/>
    </row>
    <row r="614" ht="14.25" customHeight="1">
      <c r="C614" s="119"/>
      <c r="I614" s="161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AL614" s="119"/>
    </row>
    <row r="615" ht="14.25" customHeight="1">
      <c r="C615" s="119"/>
      <c r="I615" s="161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AL615" s="119"/>
    </row>
    <row r="616" ht="14.25" customHeight="1">
      <c r="C616" s="119"/>
      <c r="I616" s="161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AL616" s="119"/>
    </row>
    <row r="617" ht="14.25" customHeight="1">
      <c r="C617" s="119"/>
      <c r="I617" s="161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AL617" s="119"/>
    </row>
    <row r="618" ht="14.25" customHeight="1">
      <c r="C618" s="119"/>
      <c r="I618" s="161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AL618" s="119"/>
    </row>
    <row r="619" ht="14.25" customHeight="1">
      <c r="C619" s="119"/>
      <c r="I619" s="161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AL619" s="119"/>
    </row>
    <row r="620" ht="14.25" customHeight="1">
      <c r="C620" s="119"/>
      <c r="I620" s="161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AL620" s="119"/>
    </row>
    <row r="621" ht="14.25" customHeight="1">
      <c r="C621" s="119"/>
      <c r="I621" s="161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AL621" s="119"/>
    </row>
    <row r="622" ht="14.25" customHeight="1">
      <c r="C622" s="119"/>
      <c r="I622" s="161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AL622" s="119"/>
    </row>
    <row r="623" ht="14.25" customHeight="1">
      <c r="C623" s="119"/>
      <c r="I623" s="161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AL623" s="119"/>
    </row>
    <row r="624" ht="14.25" customHeight="1">
      <c r="C624" s="119"/>
      <c r="I624" s="161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AL624" s="119"/>
    </row>
    <row r="625" ht="14.25" customHeight="1">
      <c r="C625" s="119"/>
      <c r="I625" s="161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AL625" s="119"/>
    </row>
    <row r="626" ht="14.25" customHeight="1">
      <c r="C626" s="119"/>
      <c r="I626" s="161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AL626" s="119"/>
    </row>
    <row r="627" ht="14.25" customHeight="1">
      <c r="C627" s="119"/>
      <c r="I627" s="161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AL627" s="119"/>
    </row>
    <row r="628" ht="14.25" customHeight="1">
      <c r="C628" s="119"/>
      <c r="I628" s="161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AL628" s="119"/>
    </row>
    <row r="629" ht="14.25" customHeight="1">
      <c r="C629" s="119"/>
      <c r="I629" s="161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AL629" s="119"/>
    </row>
    <row r="630" ht="14.25" customHeight="1">
      <c r="C630" s="119"/>
      <c r="I630" s="161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AL630" s="119"/>
    </row>
    <row r="631" ht="14.25" customHeight="1">
      <c r="C631" s="119"/>
      <c r="I631" s="161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AL631" s="119"/>
    </row>
    <row r="632" ht="14.25" customHeight="1">
      <c r="C632" s="119"/>
      <c r="I632" s="161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AL632" s="119"/>
    </row>
    <row r="633" ht="14.25" customHeight="1">
      <c r="C633" s="119"/>
      <c r="I633" s="161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AL633" s="119"/>
    </row>
    <row r="634" ht="14.25" customHeight="1">
      <c r="C634" s="119"/>
      <c r="I634" s="161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AL634" s="119"/>
    </row>
    <row r="635" ht="14.25" customHeight="1">
      <c r="C635" s="119"/>
      <c r="I635" s="161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AL635" s="119"/>
    </row>
    <row r="636" ht="14.25" customHeight="1">
      <c r="C636" s="119"/>
      <c r="I636" s="161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AL636" s="119"/>
    </row>
    <row r="637" ht="14.25" customHeight="1">
      <c r="C637" s="119"/>
      <c r="I637" s="161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AL637" s="119"/>
    </row>
    <row r="638" ht="14.25" customHeight="1">
      <c r="C638" s="119"/>
      <c r="I638" s="161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AL638" s="119"/>
    </row>
    <row r="639" ht="14.25" customHeight="1">
      <c r="C639" s="119"/>
      <c r="I639" s="161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AL639" s="119"/>
    </row>
    <row r="640" ht="14.25" customHeight="1">
      <c r="C640" s="119"/>
      <c r="I640" s="161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AL640" s="119"/>
    </row>
    <row r="641" ht="14.25" customHeight="1">
      <c r="C641" s="119"/>
      <c r="I641" s="161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AL641" s="119"/>
    </row>
    <row r="642" ht="14.25" customHeight="1">
      <c r="C642" s="119"/>
      <c r="I642" s="161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AL642" s="119"/>
    </row>
    <row r="643" ht="14.25" customHeight="1">
      <c r="C643" s="119"/>
      <c r="I643" s="161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AL643" s="119"/>
    </row>
    <row r="644" ht="14.25" customHeight="1">
      <c r="C644" s="119"/>
      <c r="I644" s="161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AL644" s="119"/>
    </row>
    <row r="645" ht="14.25" customHeight="1">
      <c r="C645" s="119"/>
      <c r="I645" s="161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AL645" s="119"/>
    </row>
    <row r="646" ht="14.25" customHeight="1">
      <c r="C646" s="119"/>
      <c r="I646" s="161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AL646" s="119"/>
    </row>
    <row r="647" ht="14.25" customHeight="1">
      <c r="C647" s="119"/>
      <c r="I647" s="161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AL647" s="119"/>
    </row>
    <row r="648" ht="14.25" customHeight="1">
      <c r="C648" s="119"/>
      <c r="I648" s="161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AL648" s="119"/>
    </row>
    <row r="649" ht="14.25" customHeight="1">
      <c r="C649" s="119"/>
      <c r="I649" s="161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AL649" s="119"/>
    </row>
    <row r="650" ht="14.25" customHeight="1">
      <c r="C650" s="119"/>
      <c r="I650" s="161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AL650" s="119"/>
    </row>
    <row r="651" ht="14.25" customHeight="1">
      <c r="C651" s="119"/>
      <c r="I651" s="161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AL651" s="119"/>
    </row>
    <row r="652" ht="14.25" customHeight="1">
      <c r="C652" s="119"/>
      <c r="I652" s="161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AL652" s="119"/>
    </row>
    <row r="653" ht="14.25" customHeight="1">
      <c r="C653" s="119"/>
      <c r="I653" s="161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AL653" s="119"/>
    </row>
    <row r="654" ht="14.25" customHeight="1">
      <c r="C654" s="119"/>
      <c r="I654" s="161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AL654" s="119"/>
    </row>
    <row r="655" ht="14.25" customHeight="1">
      <c r="C655" s="119"/>
      <c r="I655" s="161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AL655" s="119"/>
    </row>
    <row r="656" ht="14.25" customHeight="1">
      <c r="C656" s="119"/>
      <c r="I656" s="161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AL656" s="119"/>
    </row>
    <row r="657" ht="14.25" customHeight="1">
      <c r="C657" s="119"/>
      <c r="I657" s="161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AL657" s="119"/>
    </row>
    <row r="658" ht="14.25" customHeight="1">
      <c r="C658" s="119"/>
      <c r="I658" s="161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AL658" s="119"/>
    </row>
    <row r="659" ht="14.25" customHeight="1">
      <c r="C659" s="119"/>
      <c r="I659" s="161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AL659" s="119"/>
    </row>
    <row r="660" ht="14.25" customHeight="1">
      <c r="C660" s="119"/>
      <c r="I660" s="161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AL660" s="119"/>
    </row>
    <row r="661" ht="14.25" customHeight="1">
      <c r="C661" s="119"/>
      <c r="I661" s="161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AL661" s="119"/>
    </row>
    <row r="662" ht="14.25" customHeight="1">
      <c r="C662" s="119"/>
      <c r="I662" s="161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AL662" s="119"/>
    </row>
    <row r="663" ht="14.25" customHeight="1">
      <c r="C663" s="119"/>
      <c r="I663" s="161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AL663" s="119"/>
    </row>
    <row r="664" ht="14.25" customHeight="1">
      <c r="C664" s="119"/>
      <c r="I664" s="161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AL664" s="119"/>
    </row>
    <row r="665" ht="14.25" customHeight="1">
      <c r="C665" s="119"/>
      <c r="I665" s="161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AL665" s="119"/>
    </row>
    <row r="666" ht="14.25" customHeight="1">
      <c r="C666" s="119"/>
      <c r="I666" s="161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AL666" s="119"/>
    </row>
    <row r="667" ht="14.25" customHeight="1">
      <c r="C667" s="119"/>
      <c r="I667" s="161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AL667" s="119"/>
    </row>
    <row r="668" ht="14.25" customHeight="1">
      <c r="C668" s="119"/>
      <c r="I668" s="161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AL668" s="119"/>
    </row>
    <row r="669" ht="14.25" customHeight="1">
      <c r="C669" s="119"/>
      <c r="I669" s="161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AL669" s="119"/>
    </row>
    <row r="670" ht="14.25" customHeight="1">
      <c r="C670" s="119"/>
      <c r="I670" s="161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AL670" s="119"/>
    </row>
    <row r="671" ht="14.25" customHeight="1">
      <c r="C671" s="119"/>
      <c r="I671" s="161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AL671" s="119"/>
    </row>
    <row r="672" ht="14.25" customHeight="1">
      <c r="C672" s="119"/>
      <c r="I672" s="161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AL672" s="119"/>
    </row>
    <row r="673" ht="14.25" customHeight="1">
      <c r="C673" s="119"/>
      <c r="I673" s="161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AL673" s="119"/>
    </row>
    <row r="674" ht="14.25" customHeight="1">
      <c r="C674" s="119"/>
      <c r="I674" s="161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AL674" s="119"/>
    </row>
    <row r="675" ht="14.25" customHeight="1">
      <c r="C675" s="119"/>
      <c r="I675" s="161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AL675" s="119"/>
    </row>
    <row r="676" ht="14.25" customHeight="1">
      <c r="C676" s="119"/>
      <c r="I676" s="161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AL676" s="119"/>
    </row>
    <row r="677" ht="14.25" customHeight="1">
      <c r="C677" s="119"/>
      <c r="I677" s="161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AL677" s="119"/>
    </row>
    <row r="678" ht="14.25" customHeight="1">
      <c r="C678" s="119"/>
      <c r="I678" s="161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AL678" s="119"/>
    </row>
    <row r="679" ht="14.25" customHeight="1">
      <c r="C679" s="119"/>
      <c r="I679" s="161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AL679" s="119"/>
    </row>
    <row r="680" ht="14.25" customHeight="1">
      <c r="C680" s="119"/>
      <c r="I680" s="161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AL680" s="119"/>
    </row>
    <row r="681" ht="14.25" customHeight="1">
      <c r="C681" s="119"/>
      <c r="I681" s="161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AL681" s="119"/>
    </row>
    <row r="682" ht="14.25" customHeight="1">
      <c r="C682" s="119"/>
      <c r="I682" s="161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AL682" s="119"/>
    </row>
    <row r="683" ht="14.25" customHeight="1">
      <c r="C683" s="119"/>
      <c r="I683" s="161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AL683" s="119"/>
    </row>
    <row r="684" ht="14.25" customHeight="1">
      <c r="C684" s="119"/>
      <c r="I684" s="161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AL684" s="119"/>
    </row>
    <row r="685" ht="14.25" customHeight="1">
      <c r="C685" s="119"/>
      <c r="I685" s="161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AL685" s="119"/>
    </row>
    <row r="686" ht="14.25" customHeight="1">
      <c r="C686" s="119"/>
      <c r="I686" s="161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AL686" s="119"/>
    </row>
    <row r="687" ht="14.25" customHeight="1">
      <c r="C687" s="119"/>
      <c r="I687" s="161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AL687" s="119"/>
    </row>
    <row r="688" ht="14.25" customHeight="1">
      <c r="C688" s="119"/>
      <c r="I688" s="161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AL688" s="119"/>
    </row>
    <row r="689" ht="14.25" customHeight="1">
      <c r="C689" s="119"/>
      <c r="I689" s="161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AL689" s="119"/>
    </row>
    <row r="690" ht="14.25" customHeight="1">
      <c r="C690" s="119"/>
      <c r="I690" s="161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AL690" s="119"/>
    </row>
    <row r="691" ht="14.25" customHeight="1">
      <c r="C691" s="119"/>
      <c r="I691" s="161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AL691" s="119"/>
    </row>
    <row r="692" ht="14.25" customHeight="1">
      <c r="C692" s="119"/>
      <c r="I692" s="161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AL692" s="119"/>
    </row>
    <row r="693" ht="14.25" customHeight="1">
      <c r="C693" s="119"/>
      <c r="I693" s="161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AL693" s="119"/>
    </row>
    <row r="694" ht="14.25" customHeight="1">
      <c r="C694" s="119"/>
      <c r="I694" s="161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AL694" s="119"/>
    </row>
    <row r="695" ht="14.25" customHeight="1">
      <c r="C695" s="119"/>
      <c r="I695" s="161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AL695" s="119"/>
    </row>
    <row r="696" ht="14.25" customHeight="1">
      <c r="C696" s="119"/>
      <c r="I696" s="161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AL696" s="119"/>
    </row>
    <row r="697" ht="14.25" customHeight="1">
      <c r="C697" s="119"/>
      <c r="I697" s="161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AL697" s="119"/>
    </row>
    <row r="698" ht="14.25" customHeight="1">
      <c r="C698" s="119"/>
      <c r="I698" s="161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AL698" s="119"/>
    </row>
    <row r="699" ht="14.25" customHeight="1">
      <c r="C699" s="119"/>
      <c r="I699" s="161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AL699" s="119"/>
    </row>
    <row r="700" ht="14.25" customHeight="1">
      <c r="C700" s="119"/>
      <c r="I700" s="161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AL700" s="119"/>
    </row>
    <row r="701" ht="14.25" customHeight="1">
      <c r="C701" s="119"/>
      <c r="I701" s="161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AL701" s="119"/>
    </row>
    <row r="702" ht="14.25" customHeight="1">
      <c r="C702" s="119"/>
      <c r="I702" s="161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AL702" s="119"/>
    </row>
    <row r="703" ht="14.25" customHeight="1">
      <c r="C703" s="119"/>
      <c r="I703" s="161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AL703" s="119"/>
    </row>
    <row r="704" ht="14.25" customHeight="1">
      <c r="C704" s="119"/>
      <c r="I704" s="161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AL704" s="119"/>
    </row>
    <row r="705" ht="14.25" customHeight="1">
      <c r="C705" s="119"/>
      <c r="I705" s="161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AL705" s="119"/>
    </row>
    <row r="706" ht="14.25" customHeight="1">
      <c r="C706" s="119"/>
      <c r="I706" s="161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AL706" s="119"/>
    </row>
    <row r="707" ht="14.25" customHeight="1">
      <c r="C707" s="119"/>
      <c r="I707" s="161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AL707" s="119"/>
    </row>
    <row r="708" ht="14.25" customHeight="1">
      <c r="C708" s="119"/>
      <c r="I708" s="161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AL708" s="119"/>
    </row>
    <row r="709" ht="14.25" customHeight="1">
      <c r="C709" s="119"/>
      <c r="I709" s="161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AL709" s="119"/>
    </row>
    <row r="710" ht="14.25" customHeight="1">
      <c r="C710" s="119"/>
      <c r="I710" s="161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AL710" s="119"/>
    </row>
    <row r="711" ht="14.25" customHeight="1">
      <c r="C711" s="119"/>
      <c r="I711" s="161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AL711" s="119"/>
    </row>
    <row r="712" ht="14.25" customHeight="1">
      <c r="C712" s="119"/>
      <c r="I712" s="161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AL712" s="119"/>
    </row>
    <row r="713" ht="14.25" customHeight="1">
      <c r="C713" s="119"/>
      <c r="I713" s="161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AL713" s="119"/>
    </row>
    <row r="714" ht="14.25" customHeight="1">
      <c r="C714" s="119"/>
      <c r="I714" s="161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AL714" s="119"/>
    </row>
    <row r="715" ht="14.25" customHeight="1">
      <c r="C715" s="119"/>
      <c r="I715" s="161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AL715" s="119"/>
    </row>
    <row r="716" ht="14.25" customHeight="1">
      <c r="C716" s="119"/>
      <c r="I716" s="161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AL716" s="119"/>
    </row>
    <row r="717" ht="14.25" customHeight="1">
      <c r="C717" s="119"/>
      <c r="I717" s="161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AL717" s="119"/>
    </row>
    <row r="718" ht="14.25" customHeight="1">
      <c r="C718" s="119"/>
      <c r="I718" s="161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AL718" s="119"/>
    </row>
    <row r="719" ht="14.25" customHeight="1">
      <c r="C719" s="119"/>
      <c r="I719" s="161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AL719" s="119"/>
    </row>
    <row r="720" ht="14.25" customHeight="1">
      <c r="C720" s="119"/>
      <c r="I720" s="161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AL720" s="119"/>
    </row>
    <row r="721" ht="14.25" customHeight="1">
      <c r="C721" s="119"/>
      <c r="I721" s="161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AL721" s="119"/>
    </row>
    <row r="722" ht="14.25" customHeight="1">
      <c r="C722" s="119"/>
      <c r="I722" s="161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AL722" s="119"/>
    </row>
    <row r="723" ht="14.25" customHeight="1">
      <c r="C723" s="119"/>
      <c r="I723" s="161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AL723" s="119"/>
    </row>
    <row r="724" ht="14.25" customHeight="1">
      <c r="C724" s="119"/>
      <c r="I724" s="161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AL724" s="119"/>
    </row>
    <row r="725" ht="14.25" customHeight="1">
      <c r="C725" s="119"/>
      <c r="I725" s="161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AL725" s="119"/>
    </row>
    <row r="726" ht="14.25" customHeight="1">
      <c r="C726" s="119"/>
      <c r="I726" s="161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AL726" s="119"/>
    </row>
    <row r="727" ht="14.25" customHeight="1">
      <c r="C727" s="119"/>
      <c r="I727" s="161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AL727" s="119"/>
    </row>
    <row r="728" ht="14.25" customHeight="1">
      <c r="C728" s="119"/>
      <c r="I728" s="161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AL728" s="119"/>
    </row>
    <row r="729" ht="14.25" customHeight="1">
      <c r="C729" s="119"/>
      <c r="I729" s="161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AL729" s="119"/>
    </row>
    <row r="730" ht="14.25" customHeight="1">
      <c r="C730" s="119"/>
      <c r="I730" s="161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AL730" s="119"/>
    </row>
    <row r="731" ht="14.25" customHeight="1">
      <c r="C731" s="119"/>
      <c r="I731" s="161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AL731" s="119"/>
    </row>
    <row r="732" ht="14.25" customHeight="1">
      <c r="C732" s="119"/>
      <c r="I732" s="161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AL732" s="119"/>
    </row>
    <row r="733" ht="14.25" customHeight="1">
      <c r="C733" s="119"/>
      <c r="I733" s="161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AL733" s="119"/>
    </row>
    <row r="734" ht="14.25" customHeight="1">
      <c r="C734" s="119"/>
      <c r="I734" s="161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AL734" s="119"/>
    </row>
    <row r="735" ht="14.25" customHeight="1">
      <c r="C735" s="119"/>
      <c r="I735" s="161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AL735" s="119"/>
    </row>
    <row r="736" ht="14.25" customHeight="1">
      <c r="C736" s="119"/>
      <c r="I736" s="161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AL736" s="119"/>
    </row>
    <row r="737" ht="14.25" customHeight="1">
      <c r="C737" s="119"/>
      <c r="I737" s="161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AL737" s="119"/>
    </row>
    <row r="738" ht="14.25" customHeight="1">
      <c r="C738" s="119"/>
      <c r="I738" s="161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AL738" s="119"/>
    </row>
    <row r="739" ht="14.25" customHeight="1">
      <c r="C739" s="119"/>
      <c r="I739" s="161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AL739" s="119"/>
    </row>
    <row r="740" ht="14.25" customHeight="1">
      <c r="C740" s="119"/>
      <c r="I740" s="161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AL740" s="119"/>
    </row>
    <row r="741" ht="14.25" customHeight="1">
      <c r="C741" s="119"/>
      <c r="I741" s="161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AL741" s="119"/>
    </row>
    <row r="742" ht="14.25" customHeight="1">
      <c r="C742" s="119"/>
      <c r="I742" s="161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AL742" s="119"/>
    </row>
    <row r="743" ht="14.25" customHeight="1">
      <c r="C743" s="119"/>
      <c r="I743" s="161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AL743" s="119"/>
    </row>
    <row r="744" ht="14.25" customHeight="1">
      <c r="C744" s="119"/>
      <c r="I744" s="161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AL744" s="119"/>
    </row>
    <row r="745" ht="14.25" customHeight="1">
      <c r="C745" s="119"/>
      <c r="I745" s="161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AL745" s="119"/>
    </row>
    <row r="746" ht="14.25" customHeight="1">
      <c r="C746" s="119"/>
      <c r="I746" s="161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AL746" s="119"/>
    </row>
    <row r="747" ht="14.25" customHeight="1">
      <c r="C747" s="119"/>
      <c r="I747" s="161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AL747" s="119"/>
    </row>
    <row r="748" ht="14.25" customHeight="1">
      <c r="C748" s="119"/>
      <c r="I748" s="161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AL748" s="119"/>
    </row>
    <row r="749" ht="14.25" customHeight="1">
      <c r="C749" s="119"/>
      <c r="I749" s="161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AL749" s="119"/>
    </row>
    <row r="750" ht="14.25" customHeight="1">
      <c r="C750" s="119"/>
      <c r="I750" s="161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AL750" s="119"/>
    </row>
    <row r="751" ht="14.25" customHeight="1">
      <c r="C751" s="119"/>
      <c r="I751" s="161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AL751" s="119"/>
    </row>
    <row r="752" ht="14.25" customHeight="1">
      <c r="C752" s="119"/>
      <c r="I752" s="161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AL752" s="119"/>
    </row>
    <row r="753" ht="14.25" customHeight="1">
      <c r="C753" s="119"/>
      <c r="I753" s="161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AL753" s="119"/>
    </row>
    <row r="754" ht="14.25" customHeight="1">
      <c r="C754" s="119"/>
      <c r="I754" s="161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AL754" s="119"/>
    </row>
    <row r="755" ht="14.25" customHeight="1">
      <c r="C755" s="119"/>
      <c r="I755" s="161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AL755" s="119"/>
    </row>
    <row r="756" ht="14.25" customHeight="1">
      <c r="C756" s="119"/>
      <c r="I756" s="161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AL756" s="119"/>
    </row>
    <row r="757" ht="14.25" customHeight="1">
      <c r="C757" s="119"/>
      <c r="I757" s="161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AL757" s="119"/>
    </row>
    <row r="758" ht="14.25" customHeight="1">
      <c r="C758" s="119"/>
      <c r="I758" s="161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AL758" s="119"/>
    </row>
    <row r="759" ht="14.25" customHeight="1">
      <c r="C759" s="119"/>
      <c r="I759" s="161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AL759" s="119"/>
    </row>
    <row r="760" ht="14.25" customHeight="1">
      <c r="C760" s="119"/>
      <c r="I760" s="161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AL760" s="119"/>
    </row>
    <row r="761" ht="14.25" customHeight="1">
      <c r="C761" s="119"/>
      <c r="I761" s="161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AL761" s="119"/>
    </row>
    <row r="762" ht="14.25" customHeight="1">
      <c r="C762" s="119"/>
      <c r="I762" s="161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AL762" s="119"/>
    </row>
    <row r="763" ht="14.25" customHeight="1">
      <c r="C763" s="119"/>
      <c r="I763" s="161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AL763" s="119"/>
    </row>
    <row r="764" ht="14.25" customHeight="1">
      <c r="C764" s="119"/>
      <c r="I764" s="161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AL764" s="119"/>
    </row>
    <row r="765" ht="14.25" customHeight="1">
      <c r="C765" s="119"/>
      <c r="I765" s="161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AL765" s="119"/>
    </row>
    <row r="766" ht="14.25" customHeight="1">
      <c r="C766" s="119"/>
      <c r="I766" s="161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AL766" s="119"/>
    </row>
    <row r="767" ht="14.25" customHeight="1">
      <c r="C767" s="119"/>
      <c r="I767" s="161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AL767" s="119"/>
    </row>
    <row r="768" ht="14.25" customHeight="1">
      <c r="C768" s="119"/>
      <c r="I768" s="161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AL768" s="119"/>
    </row>
    <row r="769" ht="14.25" customHeight="1">
      <c r="C769" s="119"/>
      <c r="I769" s="161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AL769" s="119"/>
    </row>
    <row r="770" ht="14.25" customHeight="1">
      <c r="C770" s="119"/>
      <c r="I770" s="161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AL770" s="119"/>
    </row>
    <row r="771" ht="14.25" customHeight="1">
      <c r="C771" s="119"/>
      <c r="I771" s="161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AL771" s="119"/>
    </row>
    <row r="772" ht="14.25" customHeight="1">
      <c r="C772" s="119"/>
      <c r="I772" s="161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AL772" s="119"/>
    </row>
    <row r="773" ht="14.25" customHeight="1">
      <c r="C773" s="119"/>
      <c r="I773" s="161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AL773" s="119"/>
    </row>
    <row r="774" ht="14.25" customHeight="1">
      <c r="C774" s="119"/>
      <c r="I774" s="161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AL774" s="119"/>
    </row>
    <row r="775" ht="14.25" customHeight="1">
      <c r="C775" s="119"/>
      <c r="I775" s="161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AL775" s="119"/>
    </row>
    <row r="776" ht="14.25" customHeight="1">
      <c r="C776" s="119"/>
      <c r="I776" s="161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AL776" s="119"/>
    </row>
    <row r="777" ht="14.25" customHeight="1">
      <c r="C777" s="119"/>
      <c r="I777" s="161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AL777" s="119"/>
    </row>
    <row r="778" ht="14.25" customHeight="1">
      <c r="C778" s="119"/>
      <c r="I778" s="161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AL778" s="119"/>
    </row>
    <row r="779" ht="14.25" customHeight="1">
      <c r="C779" s="119"/>
      <c r="I779" s="161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AL779" s="119"/>
    </row>
    <row r="780" ht="14.25" customHeight="1">
      <c r="C780" s="119"/>
      <c r="I780" s="161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AL780" s="119"/>
    </row>
    <row r="781" ht="14.25" customHeight="1">
      <c r="C781" s="119"/>
      <c r="I781" s="161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AL781" s="119"/>
    </row>
    <row r="782" ht="14.25" customHeight="1">
      <c r="C782" s="119"/>
      <c r="I782" s="161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AL782" s="119"/>
    </row>
    <row r="783" ht="14.25" customHeight="1">
      <c r="C783" s="119"/>
      <c r="I783" s="161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AL783" s="119"/>
    </row>
    <row r="784" ht="14.25" customHeight="1">
      <c r="C784" s="119"/>
      <c r="I784" s="161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AL784" s="119"/>
    </row>
    <row r="785" ht="14.25" customHeight="1">
      <c r="C785" s="119"/>
      <c r="I785" s="161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AL785" s="119"/>
    </row>
    <row r="786" ht="14.25" customHeight="1">
      <c r="C786" s="119"/>
      <c r="I786" s="161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AL786" s="119"/>
    </row>
    <row r="787" ht="14.25" customHeight="1">
      <c r="C787" s="119"/>
      <c r="I787" s="161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AL787" s="119"/>
    </row>
    <row r="788" ht="14.25" customHeight="1">
      <c r="C788" s="119"/>
      <c r="I788" s="161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AL788" s="119"/>
    </row>
    <row r="789" ht="14.25" customHeight="1">
      <c r="C789" s="119"/>
      <c r="I789" s="161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AL789" s="119"/>
    </row>
    <row r="790" ht="14.25" customHeight="1">
      <c r="C790" s="119"/>
      <c r="I790" s="161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AL790" s="119"/>
    </row>
    <row r="791" ht="14.25" customHeight="1">
      <c r="C791" s="119"/>
      <c r="I791" s="161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AL791" s="119"/>
    </row>
    <row r="792" ht="14.25" customHeight="1">
      <c r="C792" s="119"/>
      <c r="I792" s="161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AL792" s="119"/>
    </row>
    <row r="793" ht="14.25" customHeight="1">
      <c r="C793" s="119"/>
      <c r="I793" s="161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AL793" s="119"/>
    </row>
    <row r="794" ht="14.25" customHeight="1">
      <c r="C794" s="119"/>
      <c r="I794" s="161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AL794" s="119"/>
    </row>
    <row r="795" ht="14.25" customHeight="1">
      <c r="C795" s="119"/>
      <c r="I795" s="161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AL795" s="119"/>
    </row>
    <row r="796" ht="14.25" customHeight="1">
      <c r="C796" s="119"/>
      <c r="I796" s="161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AL796" s="119"/>
    </row>
    <row r="797" ht="14.25" customHeight="1">
      <c r="C797" s="119"/>
      <c r="I797" s="161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AL797" s="119"/>
    </row>
    <row r="798" ht="14.25" customHeight="1">
      <c r="C798" s="119"/>
      <c r="I798" s="161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AL798" s="119"/>
    </row>
    <row r="799" ht="14.25" customHeight="1">
      <c r="C799" s="119"/>
      <c r="I799" s="161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AL799" s="119"/>
    </row>
    <row r="800" ht="14.25" customHeight="1">
      <c r="C800" s="119"/>
      <c r="I800" s="161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AL800" s="119"/>
    </row>
    <row r="801" ht="14.25" customHeight="1">
      <c r="C801" s="119"/>
      <c r="I801" s="161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AL801" s="119"/>
    </row>
    <row r="802" ht="14.25" customHeight="1">
      <c r="C802" s="119"/>
      <c r="I802" s="161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AL802" s="119"/>
    </row>
    <row r="803" ht="14.25" customHeight="1">
      <c r="C803" s="119"/>
      <c r="I803" s="161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AL803" s="119"/>
    </row>
    <row r="804" ht="14.25" customHeight="1">
      <c r="C804" s="119"/>
      <c r="I804" s="161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AL804" s="119"/>
    </row>
    <row r="805" ht="14.25" customHeight="1">
      <c r="C805" s="119"/>
      <c r="I805" s="161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AL805" s="119"/>
    </row>
    <row r="806" ht="14.25" customHeight="1">
      <c r="C806" s="119"/>
      <c r="I806" s="161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AL806" s="119"/>
    </row>
    <row r="807" ht="14.25" customHeight="1">
      <c r="C807" s="119"/>
      <c r="I807" s="161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AL807" s="119"/>
    </row>
    <row r="808" ht="14.25" customHeight="1">
      <c r="C808" s="119"/>
      <c r="I808" s="161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AL808" s="119"/>
    </row>
    <row r="809" ht="14.25" customHeight="1">
      <c r="C809" s="119"/>
      <c r="I809" s="161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AL809" s="119"/>
    </row>
    <row r="810" ht="14.25" customHeight="1">
      <c r="C810" s="119"/>
      <c r="I810" s="161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AL810" s="119"/>
    </row>
    <row r="811" ht="14.25" customHeight="1">
      <c r="C811" s="119"/>
      <c r="I811" s="161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AL811" s="119"/>
    </row>
    <row r="812" ht="14.25" customHeight="1">
      <c r="C812" s="119"/>
      <c r="I812" s="161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AL812" s="119"/>
    </row>
    <row r="813" ht="14.25" customHeight="1">
      <c r="C813" s="119"/>
      <c r="I813" s="161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AL813" s="119"/>
    </row>
    <row r="814" ht="14.25" customHeight="1">
      <c r="C814" s="119"/>
      <c r="I814" s="161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AL814" s="119"/>
    </row>
    <row r="815" ht="14.25" customHeight="1">
      <c r="C815" s="119"/>
      <c r="I815" s="161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AL815" s="119"/>
    </row>
    <row r="816" ht="14.25" customHeight="1">
      <c r="C816" s="119"/>
      <c r="I816" s="161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AL816" s="119"/>
    </row>
    <row r="817" ht="14.25" customHeight="1">
      <c r="C817" s="119"/>
      <c r="I817" s="161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AL817" s="119"/>
    </row>
    <row r="818" ht="14.25" customHeight="1">
      <c r="C818" s="119"/>
      <c r="I818" s="161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AL818" s="119"/>
    </row>
    <row r="819" ht="14.25" customHeight="1">
      <c r="C819" s="119"/>
      <c r="I819" s="161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AL819" s="119"/>
    </row>
    <row r="820" ht="14.25" customHeight="1">
      <c r="C820" s="119"/>
      <c r="I820" s="161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AL820" s="119"/>
    </row>
    <row r="821" ht="14.25" customHeight="1">
      <c r="C821" s="119"/>
      <c r="I821" s="161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AL821" s="119"/>
    </row>
    <row r="822" ht="14.25" customHeight="1">
      <c r="C822" s="119"/>
      <c r="I822" s="161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AL822" s="119"/>
    </row>
    <row r="823" ht="14.25" customHeight="1">
      <c r="C823" s="119"/>
      <c r="I823" s="161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AL823" s="119"/>
    </row>
    <row r="824" ht="14.25" customHeight="1">
      <c r="C824" s="119"/>
      <c r="I824" s="161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AL824" s="119"/>
    </row>
    <row r="825" ht="14.25" customHeight="1">
      <c r="C825" s="119"/>
      <c r="I825" s="161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AL825" s="119"/>
    </row>
    <row r="826" ht="14.25" customHeight="1">
      <c r="C826" s="119"/>
      <c r="I826" s="161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AL826" s="119"/>
    </row>
    <row r="827" ht="14.25" customHeight="1">
      <c r="C827" s="119"/>
      <c r="I827" s="161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AL827" s="119"/>
    </row>
    <row r="828" ht="14.25" customHeight="1">
      <c r="C828" s="119"/>
      <c r="I828" s="161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AL828" s="119"/>
    </row>
    <row r="829" ht="14.25" customHeight="1">
      <c r="C829" s="119"/>
      <c r="I829" s="161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AL829" s="119"/>
    </row>
    <row r="830" ht="14.25" customHeight="1">
      <c r="C830" s="119"/>
      <c r="I830" s="161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AL830" s="119"/>
    </row>
    <row r="831" ht="14.25" customHeight="1">
      <c r="C831" s="119"/>
      <c r="I831" s="161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AL831" s="119"/>
    </row>
    <row r="832" ht="14.25" customHeight="1">
      <c r="C832" s="119"/>
      <c r="I832" s="161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AL832" s="119"/>
    </row>
    <row r="833" ht="14.25" customHeight="1">
      <c r="C833" s="119"/>
      <c r="I833" s="161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AL833" s="119"/>
    </row>
    <row r="834" ht="14.25" customHeight="1">
      <c r="C834" s="119"/>
      <c r="I834" s="161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AL834" s="119"/>
    </row>
    <row r="835" ht="14.25" customHeight="1">
      <c r="C835" s="119"/>
      <c r="I835" s="161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AL835" s="119"/>
    </row>
    <row r="836" ht="14.25" customHeight="1">
      <c r="C836" s="119"/>
      <c r="I836" s="161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AL836" s="119"/>
    </row>
    <row r="837" ht="14.25" customHeight="1">
      <c r="C837" s="119"/>
      <c r="I837" s="161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AL837" s="119"/>
    </row>
    <row r="838" ht="14.25" customHeight="1">
      <c r="C838" s="119"/>
      <c r="I838" s="161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AL838" s="119"/>
    </row>
    <row r="839" ht="14.25" customHeight="1">
      <c r="C839" s="119"/>
      <c r="I839" s="161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AL839" s="119"/>
    </row>
    <row r="840" ht="14.25" customHeight="1">
      <c r="C840" s="119"/>
      <c r="I840" s="161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AL840" s="119"/>
    </row>
    <row r="841" ht="14.25" customHeight="1">
      <c r="C841" s="119"/>
      <c r="I841" s="161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AL841" s="119"/>
    </row>
    <row r="842" ht="14.25" customHeight="1">
      <c r="C842" s="119"/>
      <c r="I842" s="161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AL842" s="119"/>
    </row>
    <row r="843" ht="14.25" customHeight="1">
      <c r="C843" s="119"/>
      <c r="I843" s="161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AL843" s="119"/>
    </row>
    <row r="844" ht="14.25" customHeight="1">
      <c r="C844" s="119"/>
      <c r="I844" s="161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AL844" s="119"/>
    </row>
    <row r="845" ht="14.25" customHeight="1">
      <c r="C845" s="119"/>
      <c r="I845" s="161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AL845" s="119"/>
    </row>
    <row r="846" ht="14.25" customHeight="1">
      <c r="C846" s="119"/>
      <c r="I846" s="161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AL846" s="119"/>
    </row>
    <row r="847" ht="14.25" customHeight="1">
      <c r="C847" s="119"/>
      <c r="I847" s="161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AL847" s="119"/>
    </row>
    <row r="848" ht="14.25" customHeight="1">
      <c r="C848" s="119"/>
      <c r="I848" s="161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AL848" s="119"/>
    </row>
    <row r="849" ht="14.25" customHeight="1">
      <c r="C849" s="119"/>
      <c r="I849" s="161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AL849" s="119"/>
    </row>
    <row r="850" ht="14.25" customHeight="1">
      <c r="C850" s="119"/>
      <c r="I850" s="161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AL850" s="119"/>
    </row>
    <row r="851" ht="14.25" customHeight="1">
      <c r="C851" s="119"/>
      <c r="I851" s="161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AL851" s="119"/>
    </row>
    <row r="852" ht="14.25" customHeight="1">
      <c r="C852" s="119"/>
      <c r="I852" s="161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AL852" s="119"/>
    </row>
    <row r="853" ht="14.25" customHeight="1">
      <c r="C853" s="119"/>
      <c r="I853" s="161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AL853" s="119"/>
    </row>
    <row r="854" ht="14.25" customHeight="1">
      <c r="C854" s="119"/>
      <c r="I854" s="161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AL854" s="119"/>
    </row>
    <row r="855" ht="14.25" customHeight="1">
      <c r="C855" s="119"/>
      <c r="I855" s="161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AL855" s="119"/>
    </row>
    <row r="856" ht="14.25" customHeight="1">
      <c r="C856" s="119"/>
      <c r="I856" s="161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AL856" s="119"/>
    </row>
    <row r="857" ht="14.25" customHeight="1">
      <c r="C857" s="119"/>
      <c r="I857" s="161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AL857" s="119"/>
    </row>
    <row r="858" ht="14.25" customHeight="1">
      <c r="C858" s="119"/>
      <c r="I858" s="161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AL858" s="119"/>
    </row>
    <row r="859" ht="14.25" customHeight="1">
      <c r="C859" s="119"/>
      <c r="I859" s="161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AL859" s="119"/>
    </row>
    <row r="860" ht="14.25" customHeight="1">
      <c r="C860" s="119"/>
      <c r="I860" s="161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AL860" s="119"/>
    </row>
    <row r="861" ht="14.25" customHeight="1">
      <c r="C861" s="119"/>
      <c r="I861" s="161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AL861" s="119"/>
    </row>
    <row r="862" ht="14.25" customHeight="1">
      <c r="C862" s="119"/>
      <c r="I862" s="161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AL862" s="119"/>
    </row>
    <row r="863" ht="14.25" customHeight="1">
      <c r="C863" s="119"/>
      <c r="I863" s="161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AL863" s="119"/>
    </row>
    <row r="864" ht="14.25" customHeight="1">
      <c r="C864" s="119"/>
      <c r="I864" s="161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AL864" s="119"/>
    </row>
    <row r="865" ht="14.25" customHeight="1">
      <c r="C865" s="119"/>
      <c r="I865" s="161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AL865" s="119"/>
    </row>
    <row r="866" ht="14.25" customHeight="1">
      <c r="C866" s="119"/>
      <c r="I866" s="161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AL866" s="119"/>
    </row>
    <row r="867" ht="14.25" customHeight="1">
      <c r="C867" s="119"/>
      <c r="I867" s="161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AL867" s="119"/>
    </row>
    <row r="868" ht="14.25" customHeight="1">
      <c r="C868" s="119"/>
      <c r="I868" s="161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AL868" s="119"/>
    </row>
    <row r="869" ht="14.25" customHeight="1">
      <c r="C869" s="119"/>
      <c r="I869" s="161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AL869" s="119"/>
    </row>
    <row r="870" ht="14.25" customHeight="1">
      <c r="C870" s="119"/>
      <c r="I870" s="161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AL870" s="119"/>
    </row>
    <row r="871" ht="14.25" customHeight="1">
      <c r="C871" s="119"/>
      <c r="I871" s="161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AL871" s="119"/>
    </row>
    <row r="872" ht="14.25" customHeight="1">
      <c r="C872" s="119"/>
      <c r="I872" s="161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AL872" s="119"/>
    </row>
    <row r="873" ht="14.25" customHeight="1">
      <c r="C873" s="119"/>
      <c r="I873" s="161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AL873" s="119"/>
    </row>
    <row r="874" ht="14.25" customHeight="1">
      <c r="C874" s="119"/>
      <c r="I874" s="161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AL874" s="119"/>
    </row>
    <row r="875" ht="14.25" customHeight="1">
      <c r="C875" s="119"/>
      <c r="I875" s="161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AL875" s="119"/>
    </row>
    <row r="876" ht="14.25" customHeight="1">
      <c r="C876" s="119"/>
      <c r="I876" s="161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AL876" s="119"/>
    </row>
    <row r="877" ht="14.25" customHeight="1">
      <c r="C877" s="119"/>
      <c r="I877" s="161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AL877" s="119"/>
    </row>
    <row r="878" ht="14.25" customHeight="1">
      <c r="C878" s="119"/>
      <c r="I878" s="161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AL878" s="119"/>
    </row>
    <row r="879" ht="14.25" customHeight="1">
      <c r="C879" s="119"/>
      <c r="I879" s="161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AL879" s="119"/>
    </row>
    <row r="880" ht="14.25" customHeight="1">
      <c r="C880" s="119"/>
      <c r="I880" s="161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AL880" s="119"/>
    </row>
    <row r="881" ht="14.25" customHeight="1">
      <c r="C881" s="119"/>
      <c r="I881" s="161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AL881" s="119"/>
    </row>
    <row r="882" ht="14.25" customHeight="1">
      <c r="C882" s="119"/>
      <c r="I882" s="161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AL882" s="119"/>
    </row>
    <row r="883" ht="14.25" customHeight="1">
      <c r="C883" s="119"/>
      <c r="I883" s="161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AL883" s="119"/>
    </row>
    <row r="884" ht="14.25" customHeight="1">
      <c r="C884" s="119"/>
      <c r="I884" s="161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AL884" s="119"/>
    </row>
    <row r="885" ht="14.25" customHeight="1">
      <c r="C885" s="119"/>
      <c r="I885" s="161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AL885" s="119"/>
    </row>
    <row r="886" ht="14.25" customHeight="1">
      <c r="C886" s="119"/>
      <c r="I886" s="161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AL886" s="119"/>
    </row>
    <row r="887" ht="14.25" customHeight="1">
      <c r="C887" s="119"/>
      <c r="I887" s="161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AL887" s="119"/>
    </row>
    <row r="888" ht="14.25" customHeight="1">
      <c r="C888" s="119"/>
      <c r="I888" s="161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AL888" s="119"/>
    </row>
    <row r="889" ht="14.25" customHeight="1">
      <c r="C889" s="119"/>
      <c r="I889" s="161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AL889" s="119"/>
    </row>
    <row r="890" ht="14.25" customHeight="1">
      <c r="C890" s="119"/>
      <c r="I890" s="161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AL890" s="119"/>
    </row>
    <row r="891" ht="14.25" customHeight="1">
      <c r="C891" s="119"/>
      <c r="I891" s="161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AL891" s="119"/>
    </row>
    <row r="892" ht="14.25" customHeight="1">
      <c r="C892" s="119"/>
      <c r="I892" s="161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AL892" s="119"/>
    </row>
    <row r="893" ht="14.25" customHeight="1">
      <c r="C893" s="119"/>
      <c r="I893" s="161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AL893" s="119"/>
    </row>
    <row r="894" ht="14.25" customHeight="1">
      <c r="C894" s="119"/>
      <c r="I894" s="161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AL894" s="119"/>
    </row>
    <row r="895" ht="14.25" customHeight="1">
      <c r="C895" s="119"/>
      <c r="I895" s="161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AL895" s="119"/>
    </row>
    <row r="896" ht="14.25" customHeight="1">
      <c r="C896" s="119"/>
      <c r="I896" s="161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AL896" s="119"/>
    </row>
    <row r="897" ht="14.25" customHeight="1">
      <c r="C897" s="119"/>
      <c r="I897" s="161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AL897" s="119"/>
    </row>
    <row r="898" ht="14.25" customHeight="1">
      <c r="C898" s="119"/>
      <c r="I898" s="161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AL898" s="119"/>
    </row>
    <row r="899" ht="14.25" customHeight="1">
      <c r="C899" s="119"/>
      <c r="I899" s="161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AL899" s="119"/>
    </row>
    <row r="900" ht="14.25" customHeight="1">
      <c r="C900" s="119"/>
      <c r="I900" s="161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AL900" s="119"/>
    </row>
    <row r="901" ht="14.25" customHeight="1">
      <c r="C901" s="119"/>
      <c r="I901" s="161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AL901" s="119"/>
    </row>
    <row r="902" ht="14.25" customHeight="1">
      <c r="C902" s="119"/>
      <c r="I902" s="161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AL902" s="119"/>
    </row>
    <row r="903" ht="14.25" customHeight="1">
      <c r="C903" s="119"/>
      <c r="I903" s="161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AL903" s="119"/>
    </row>
    <row r="904" ht="14.25" customHeight="1">
      <c r="C904" s="119"/>
      <c r="I904" s="161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AL904" s="119"/>
    </row>
    <row r="905" ht="14.25" customHeight="1">
      <c r="C905" s="119"/>
      <c r="I905" s="161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AL905" s="119"/>
    </row>
    <row r="906" ht="14.25" customHeight="1">
      <c r="C906" s="119"/>
      <c r="I906" s="161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AL906" s="119"/>
    </row>
    <row r="907" ht="14.25" customHeight="1">
      <c r="C907" s="119"/>
      <c r="I907" s="161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AL907" s="119"/>
    </row>
    <row r="908" ht="14.25" customHeight="1">
      <c r="C908" s="119"/>
      <c r="I908" s="161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AL908" s="119"/>
    </row>
    <row r="909" ht="14.25" customHeight="1">
      <c r="C909" s="119"/>
      <c r="I909" s="161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AL909" s="119"/>
    </row>
    <row r="910" ht="14.25" customHeight="1">
      <c r="C910" s="119"/>
      <c r="I910" s="161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AL910" s="119"/>
    </row>
    <row r="911" ht="14.25" customHeight="1">
      <c r="C911" s="119"/>
      <c r="I911" s="161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AL911" s="119"/>
    </row>
    <row r="912" ht="14.25" customHeight="1">
      <c r="C912" s="119"/>
      <c r="I912" s="161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AL912" s="119"/>
    </row>
    <row r="913" ht="14.25" customHeight="1">
      <c r="C913" s="119"/>
      <c r="I913" s="161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AL913" s="119"/>
    </row>
    <row r="914" ht="14.25" customHeight="1">
      <c r="C914" s="119"/>
      <c r="I914" s="161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AL914" s="119"/>
    </row>
    <row r="915" ht="14.25" customHeight="1">
      <c r="C915" s="119"/>
      <c r="I915" s="161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AL915" s="119"/>
    </row>
    <row r="916" ht="14.25" customHeight="1">
      <c r="C916" s="119"/>
      <c r="I916" s="161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AL916" s="119"/>
    </row>
    <row r="917" ht="14.25" customHeight="1">
      <c r="C917" s="119"/>
      <c r="I917" s="161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AL917" s="119"/>
    </row>
    <row r="918" ht="14.25" customHeight="1">
      <c r="C918" s="119"/>
      <c r="I918" s="161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AL918" s="119"/>
    </row>
    <row r="919" ht="14.25" customHeight="1">
      <c r="C919" s="119"/>
      <c r="I919" s="161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AL919" s="119"/>
    </row>
    <row r="920" ht="14.25" customHeight="1">
      <c r="C920" s="119"/>
      <c r="I920" s="161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AL920" s="119"/>
    </row>
    <row r="921" ht="14.25" customHeight="1">
      <c r="C921" s="119"/>
      <c r="I921" s="161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AL921" s="119"/>
    </row>
    <row r="922" ht="14.25" customHeight="1">
      <c r="C922" s="119"/>
      <c r="I922" s="161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AL922" s="119"/>
    </row>
    <row r="923" ht="14.25" customHeight="1">
      <c r="C923" s="119"/>
      <c r="I923" s="161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AL923" s="119"/>
    </row>
    <row r="924" ht="14.25" customHeight="1">
      <c r="C924" s="119"/>
      <c r="I924" s="161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AL924" s="119"/>
    </row>
    <row r="925" ht="14.25" customHeight="1">
      <c r="C925" s="119"/>
      <c r="I925" s="161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AL925" s="119"/>
    </row>
    <row r="926" ht="14.25" customHeight="1">
      <c r="C926" s="119"/>
      <c r="I926" s="161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AL926" s="119"/>
    </row>
    <row r="927" ht="14.25" customHeight="1">
      <c r="C927" s="119"/>
      <c r="I927" s="161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AL927" s="119"/>
    </row>
    <row r="928" ht="14.25" customHeight="1">
      <c r="C928" s="119"/>
      <c r="I928" s="161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AL928" s="119"/>
    </row>
    <row r="929" ht="14.25" customHeight="1">
      <c r="C929" s="119"/>
      <c r="I929" s="161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AL929" s="119"/>
    </row>
    <row r="930" ht="14.25" customHeight="1">
      <c r="C930" s="119"/>
      <c r="I930" s="161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AL930" s="119"/>
    </row>
    <row r="931" ht="14.25" customHeight="1">
      <c r="C931" s="119"/>
      <c r="I931" s="161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AL931" s="119"/>
    </row>
    <row r="932" ht="14.25" customHeight="1">
      <c r="C932" s="119"/>
      <c r="I932" s="161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AL932" s="119"/>
    </row>
    <row r="933" ht="14.25" customHeight="1">
      <c r="C933" s="119"/>
      <c r="I933" s="161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AL933" s="119"/>
    </row>
    <row r="934" ht="14.25" customHeight="1">
      <c r="C934" s="119"/>
      <c r="I934" s="161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AL934" s="119"/>
    </row>
    <row r="935" ht="14.25" customHeight="1">
      <c r="C935" s="119"/>
      <c r="I935" s="161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AL935" s="119"/>
    </row>
    <row r="936" ht="14.25" customHeight="1">
      <c r="C936" s="119"/>
      <c r="I936" s="161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AL936" s="119"/>
    </row>
    <row r="937" ht="14.25" customHeight="1">
      <c r="C937" s="119"/>
      <c r="I937" s="161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AL937" s="119"/>
    </row>
    <row r="938" ht="14.25" customHeight="1">
      <c r="C938" s="119"/>
      <c r="I938" s="161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AL938" s="119"/>
    </row>
    <row r="939" ht="14.25" customHeight="1">
      <c r="C939" s="119"/>
      <c r="I939" s="161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AL939" s="119"/>
    </row>
    <row r="940" ht="14.25" customHeight="1">
      <c r="C940" s="119"/>
      <c r="I940" s="161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AL940" s="119"/>
    </row>
    <row r="941" ht="14.25" customHeight="1">
      <c r="C941" s="119"/>
      <c r="I941" s="161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AL941" s="119"/>
    </row>
    <row r="942" ht="14.25" customHeight="1">
      <c r="C942" s="119"/>
      <c r="I942" s="161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AL942" s="119"/>
    </row>
    <row r="943" ht="14.25" customHeight="1">
      <c r="C943" s="119"/>
      <c r="I943" s="161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AL943" s="119"/>
    </row>
    <row r="944" ht="14.25" customHeight="1">
      <c r="C944" s="119"/>
      <c r="I944" s="161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AL944" s="119"/>
    </row>
    <row r="945" ht="14.25" customHeight="1">
      <c r="C945" s="119"/>
      <c r="I945" s="161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AL945" s="119"/>
    </row>
    <row r="946" ht="14.25" customHeight="1">
      <c r="C946" s="119"/>
      <c r="I946" s="161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AL946" s="119"/>
    </row>
    <row r="947" ht="14.25" customHeight="1">
      <c r="C947" s="119"/>
      <c r="I947" s="161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AL947" s="119"/>
    </row>
    <row r="948" ht="14.25" customHeight="1">
      <c r="C948" s="119"/>
      <c r="I948" s="161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AL948" s="119"/>
    </row>
    <row r="949" ht="14.25" customHeight="1">
      <c r="C949" s="119"/>
      <c r="I949" s="161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AL949" s="119"/>
    </row>
    <row r="950" ht="14.25" customHeight="1">
      <c r="C950" s="119"/>
      <c r="I950" s="161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AL950" s="119"/>
    </row>
    <row r="951" ht="14.25" customHeight="1">
      <c r="C951" s="119"/>
      <c r="I951" s="161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AL951" s="119"/>
    </row>
    <row r="952" ht="14.25" customHeight="1">
      <c r="C952" s="119"/>
      <c r="I952" s="161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AL952" s="119"/>
    </row>
    <row r="953" ht="14.25" customHeight="1">
      <c r="C953" s="119"/>
      <c r="I953" s="161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AL953" s="119"/>
    </row>
    <row r="954" ht="14.25" customHeight="1">
      <c r="C954" s="119"/>
      <c r="I954" s="161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AL954" s="119"/>
    </row>
    <row r="955" ht="14.25" customHeight="1">
      <c r="C955" s="119"/>
      <c r="I955" s="161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AL955" s="119"/>
    </row>
    <row r="956" ht="14.25" customHeight="1">
      <c r="C956" s="119"/>
      <c r="I956" s="161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AL956" s="119"/>
    </row>
    <row r="957" ht="14.25" customHeight="1">
      <c r="C957" s="119"/>
      <c r="I957" s="161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AL957" s="119"/>
    </row>
    <row r="958" ht="14.25" customHeight="1">
      <c r="C958" s="119"/>
      <c r="I958" s="161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AL958" s="119"/>
    </row>
    <row r="959" ht="14.25" customHeight="1">
      <c r="C959" s="119"/>
      <c r="I959" s="161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AL959" s="119"/>
    </row>
    <row r="960" ht="14.25" customHeight="1">
      <c r="C960" s="119"/>
      <c r="I960" s="161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AL960" s="119"/>
    </row>
    <row r="961" ht="14.25" customHeight="1">
      <c r="C961" s="119"/>
      <c r="I961" s="161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AL961" s="119"/>
    </row>
    <row r="962" ht="14.25" customHeight="1">
      <c r="C962" s="119"/>
      <c r="I962" s="161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AL962" s="119"/>
    </row>
    <row r="963" ht="14.25" customHeight="1">
      <c r="C963" s="119"/>
      <c r="I963" s="161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AL963" s="119"/>
    </row>
    <row r="964" ht="14.25" customHeight="1">
      <c r="C964" s="119"/>
      <c r="I964" s="161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AL964" s="119"/>
    </row>
    <row r="965" ht="14.25" customHeight="1">
      <c r="C965" s="119"/>
      <c r="I965" s="161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AL965" s="119"/>
    </row>
    <row r="966" ht="14.25" customHeight="1">
      <c r="C966" s="119"/>
      <c r="I966" s="161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AL966" s="119"/>
    </row>
    <row r="967" ht="14.25" customHeight="1">
      <c r="C967" s="119"/>
      <c r="I967" s="161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AL967" s="119"/>
    </row>
    <row r="968" ht="14.25" customHeight="1">
      <c r="C968" s="119"/>
      <c r="I968" s="161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AL968" s="119"/>
    </row>
    <row r="969" ht="14.25" customHeight="1">
      <c r="C969" s="119"/>
      <c r="I969" s="161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AL969" s="119"/>
    </row>
    <row r="970" ht="14.25" customHeight="1">
      <c r="C970" s="119"/>
      <c r="I970" s="161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AL970" s="119"/>
    </row>
    <row r="971" ht="14.25" customHeight="1">
      <c r="C971" s="119"/>
      <c r="I971" s="161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AL971" s="119"/>
    </row>
    <row r="972" ht="14.25" customHeight="1">
      <c r="C972" s="119"/>
      <c r="I972" s="161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AL972" s="119"/>
    </row>
    <row r="973" ht="14.25" customHeight="1">
      <c r="C973" s="119"/>
      <c r="I973" s="161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AL973" s="119"/>
    </row>
    <row r="974" ht="14.25" customHeight="1">
      <c r="C974" s="119"/>
      <c r="I974" s="161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AL974" s="119"/>
    </row>
    <row r="975" ht="14.25" customHeight="1">
      <c r="C975" s="119"/>
      <c r="I975" s="161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AL975" s="119"/>
    </row>
    <row r="976" ht="14.25" customHeight="1">
      <c r="C976" s="119"/>
      <c r="I976" s="161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AL976" s="119"/>
    </row>
    <row r="977" ht="14.25" customHeight="1">
      <c r="C977" s="119"/>
      <c r="I977" s="161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AL977" s="119"/>
    </row>
    <row r="978" ht="14.25" customHeight="1">
      <c r="C978" s="119"/>
      <c r="I978" s="161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AL978" s="119"/>
    </row>
    <row r="979" ht="14.25" customHeight="1">
      <c r="C979" s="119"/>
      <c r="I979" s="161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AL979" s="119"/>
    </row>
    <row r="980" ht="14.25" customHeight="1">
      <c r="C980" s="119"/>
      <c r="I980" s="161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AL980" s="119"/>
    </row>
    <row r="981" ht="14.25" customHeight="1">
      <c r="C981" s="119"/>
      <c r="I981" s="161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AL981" s="119"/>
    </row>
    <row r="982" ht="14.25" customHeight="1">
      <c r="C982" s="119"/>
      <c r="I982" s="161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AL982" s="119"/>
    </row>
    <row r="983" ht="14.25" customHeight="1">
      <c r="C983" s="119"/>
      <c r="I983" s="161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AL983" s="119"/>
    </row>
    <row r="984" ht="14.25" customHeight="1">
      <c r="C984" s="119"/>
      <c r="I984" s="161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AL984" s="119"/>
    </row>
    <row r="985" ht="14.25" customHeight="1">
      <c r="C985" s="119"/>
      <c r="I985" s="161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AL985" s="119"/>
    </row>
    <row r="986" ht="14.25" customHeight="1">
      <c r="C986" s="119"/>
      <c r="I986" s="161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AL986" s="119"/>
    </row>
    <row r="987" ht="14.25" customHeight="1">
      <c r="C987" s="119"/>
      <c r="I987" s="161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AL987" s="119"/>
    </row>
    <row r="988" ht="14.25" customHeight="1">
      <c r="C988" s="119"/>
      <c r="I988" s="161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AL988" s="119"/>
    </row>
    <row r="989" ht="14.25" customHeight="1">
      <c r="C989" s="119"/>
      <c r="I989" s="161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AL989" s="119"/>
    </row>
    <row r="990" ht="14.25" customHeight="1">
      <c r="C990" s="119"/>
      <c r="I990" s="161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AL990" s="119"/>
    </row>
    <row r="991" ht="14.25" customHeight="1">
      <c r="C991" s="119"/>
      <c r="I991" s="161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AL991" s="119"/>
    </row>
    <row r="992" ht="14.25" customHeight="1">
      <c r="C992" s="119"/>
      <c r="I992" s="161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AL992" s="119"/>
    </row>
    <row r="993" ht="14.25" customHeight="1">
      <c r="C993" s="119"/>
      <c r="I993" s="161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AL993" s="119"/>
    </row>
    <row r="994" ht="14.25" customHeight="1">
      <c r="C994" s="119"/>
      <c r="I994" s="161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AL994" s="119"/>
    </row>
    <row r="995" ht="14.25" customHeight="1">
      <c r="C995" s="119"/>
      <c r="I995" s="161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AL995" s="119"/>
    </row>
    <row r="996" ht="14.25" customHeight="1">
      <c r="C996" s="119"/>
      <c r="I996" s="161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AL996" s="119"/>
    </row>
    <row r="997" ht="14.25" customHeight="1">
      <c r="C997" s="119"/>
      <c r="I997" s="161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AL997" s="119"/>
    </row>
    <row r="998" ht="14.25" customHeight="1">
      <c r="C998" s="119"/>
      <c r="I998" s="161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AL998" s="119"/>
    </row>
    <row r="999" ht="14.25" customHeight="1">
      <c r="C999" s="119"/>
      <c r="I999" s="161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AL999" s="119"/>
    </row>
    <row r="1000" ht="14.25" customHeight="1">
      <c r="C1000" s="119"/>
      <c r="I1000" s="161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AL1000" s="119"/>
    </row>
  </sheetData>
  <mergeCells count="4">
    <mergeCell ref="D2:H2"/>
    <mergeCell ref="I2:T2"/>
    <mergeCell ref="V2:AI2"/>
    <mergeCell ref="AJ2:CT2"/>
  </mergeCells>
  <dataValidations>
    <dataValidation type="list" allowBlank="1" showErrorMessage="1" sqref="V4:V5 V8 V10 V13:V15 V18:V19">
      <formula1>Resources!$G$3:$G$4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31.71"/>
    <col customWidth="1" min="3" max="3" width="19.43"/>
    <col customWidth="1" min="4" max="4" width="17.71"/>
    <col customWidth="1" min="5" max="5" width="17.43"/>
    <col customWidth="1" min="6" max="6" width="23.71"/>
    <col customWidth="1" min="7" max="7" width="21.29"/>
    <col customWidth="1" min="8" max="8" width="17.71"/>
    <col customWidth="1" min="9" max="26" width="8.71"/>
  </cols>
  <sheetData>
    <row r="1" ht="14.25" customHeight="1">
      <c r="A1" s="119"/>
      <c r="B1" s="119"/>
      <c r="C1" s="162"/>
      <c r="D1" s="162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ht="14.25" customHeight="1">
      <c r="A2" s="163" t="s">
        <v>60</v>
      </c>
      <c r="B2" s="164" t="s">
        <v>260</v>
      </c>
      <c r="C2" s="164" t="s">
        <v>261</v>
      </c>
      <c r="D2" s="164" t="s">
        <v>262</v>
      </c>
      <c r="E2" s="165" t="s">
        <v>89</v>
      </c>
      <c r="F2" s="165" t="s">
        <v>263</v>
      </c>
      <c r="G2" s="165" t="s">
        <v>264</v>
      </c>
      <c r="H2" s="165" t="s">
        <v>265</v>
      </c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</row>
    <row r="3" ht="14.25" customHeight="1">
      <c r="A3" s="155" t="str">
        <f>'Microbial Info'!A4</f>
        <v>ABN2</v>
      </c>
      <c r="B3" s="135" t="s">
        <v>266</v>
      </c>
      <c r="C3" s="135" t="s">
        <v>267</v>
      </c>
      <c r="D3" s="135" t="s">
        <v>268</v>
      </c>
      <c r="E3" s="167"/>
      <c r="F3" s="155"/>
      <c r="G3" s="155"/>
      <c r="H3" s="155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ht="14.25" customHeight="1">
      <c r="A4" s="155" t="str">
        <f>'Microbial Info'!A5</f>
        <v>ABN8</v>
      </c>
      <c r="B4" s="135" t="s">
        <v>266</v>
      </c>
      <c r="C4" s="135" t="s">
        <v>267</v>
      </c>
      <c r="D4" s="135" t="s">
        <v>268</v>
      </c>
      <c r="E4" s="167"/>
      <c r="F4" s="155"/>
      <c r="G4" s="155"/>
      <c r="H4" s="155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ht="14.25" customHeight="1">
      <c r="A5" s="155" t="str">
        <f>'Microbial Info'!A6</f>
        <v>BBN22</v>
      </c>
      <c r="B5" s="135" t="s">
        <v>266</v>
      </c>
      <c r="C5" s="135" t="s">
        <v>267</v>
      </c>
      <c r="D5" s="135" t="s">
        <v>268</v>
      </c>
      <c r="E5" s="167"/>
      <c r="F5" s="155"/>
      <c r="G5" s="155"/>
      <c r="H5" s="155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 ht="14.25" customHeight="1">
      <c r="A6" s="155" t="str">
        <f>'Microbial Info'!A7</f>
        <v>BBN23</v>
      </c>
      <c r="B6" s="135" t="s">
        <v>266</v>
      </c>
      <c r="C6" s="135" t="s">
        <v>267</v>
      </c>
      <c r="D6" s="135" t="s">
        <v>268</v>
      </c>
      <c r="E6" s="167"/>
      <c r="F6" s="155"/>
      <c r="G6" s="155"/>
      <c r="H6" s="155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 ht="14.25" customHeight="1">
      <c r="A7" s="155" t="str">
        <f>'Microbial Info'!A8</f>
        <v>BBN24</v>
      </c>
      <c r="B7" s="135" t="s">
        <v>266</v>
      </c>
      <c r="C7" s="135" t="s">
        <v>267</v>
      </c>
      <c r="D7" s="135" t="s">
        <v>268</v>
      </c>
      <c r="E7" s="167"/>
      <c r="F7" s="155"/>
      <c r="G7" s="155"/>
      <c r="H7" s="155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 ht="14.25" customHeight="1">
      <c r="A8" s="155" t="str">
        <f>'Microbial Info'!A9</f>
        <v>BBN25</v>
      </c>
      <c r="B8" s="135" t="s">
        <v>266</v>
      </c>
      <c r="C8" s="135" t="s">
        <v>267</v>
      </c>
      <c r="D8" s="135" t="s">
        <v>268</v>
      </c>
      <c r="E8" s="167"/>
      <c r="F8" s="155"/>
      <c r="G8" s="155"/>
      <c r="H8" s="155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ht="14.25" customHeight="1">
      <c r="A9" s="155" t="str">
        <f>'Microbial Info'!A10</f>
        <v>BBN26</v>
      </c>
      <c r="B9" s="135" t="s">
        <v>266</v>
      </c>
      <c r="C9" s="135" t="s">
        <v>267</v>
      </c>
      <c r="D9" s="135" t="s">
        <v>268</v>
      </c>
      <c r="E9" s="167"/>
      <c r="F9" s="155"/>
      <c r="G9" s="155"/>
      <c r="H9" s="155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ht="14.25" customHeight="1">
      <c r="A10" s="155" t="str">
        <f>'Microbial Info'!A11</f>
        <v>BBN27</v>
      </c>
      <c r="B10" s="135" t="s">
        <v>266</v>
      </c>
      <c r="C10" s="135" t="s">
        <v>267</v>
      </c>
      <c r="D10" s="135" t="s">
        <v>268</v>
      </c>
      <c r="E10" s="167"/>
      <c r="F10" s="155"/>
      <c r="G10" s="155"/>
      <c r="H10" s="155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ht="14.25" customHeight="1">
      <c r="A11" s="155" t="str">
        <f>'Microbial Info'!A12</f>
        <v>BBN32</v>
      </c>
      <c r="B11" s="135" t="s">
        <v>266</v>
      </c>
      <c r="C11" s="135" t="s">
        <v>267</v>
      </c>
      <c r="D11" s="135" t="s">
        <v>268</v>
      </c>
      <c r="E11" s="167"/>
      <c r="F11" s="155"/>
      <c r="G11" s="155"/>
      <c r="H11" s="155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ht="14.25" customHeight="1">
      <c r="A12" s="155" t="str">
        <f>'Microbial Info'!A13</f>
        <v>BBN42</v>
      </c>
      <c r="B12" s="135" t="s">
        <v>266</v>
      </c>
      <c r="C12" s="135" t="s">
        <v>267</v>
      </c>
      <c r="D12" s="135" t="s">
        <v>268</v>
      </c>
      <c r="E12" s="167"/>
      <c r="F12" s="155"/>
      <c r="G12" s="155"/>
      <c r="H12" s="155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ht="14.25" customHeight="1">
      <c r="A13" s="155" t="str">
        <f>'Microbial Info'!A14</f>
        <v>BBN44</v>
      </c>
      <c r="B13" s="135" t="s">
        <v>266</v>
      </c>
      <c r="C13" s="135" t="s">
        <v>267</v>
      </c>
      <c r="D13" s="135" t="s">
        <v>268</v>
      </c>
      <c r="E13" s="167"/>
      <c r="F13" s="155"/>
      <c r="G13" s="155"/>
      <c r="H13" s="155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ht="14.25" customHeight="1">
      <c r="A14" s="155" t="str">
        <f>'Microbial Info'!A15</f>
        <v>CBN1</v>
      </c>
      <c r="B14" s="135" t="s">
        <v>266</v>
      </c>
      <c r="C14" s="135" t="s">
        <v>267</v>
      </c>
      <c r="D14" s="135" t="s">
        <v>268</v>
      </c>
      <c r="E14" s="167"/>
      <c r="F14" s="155"/>
      <c r="G14" s="155"/>
      <c r="H14" s="155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ht="14.25" customHeight="1">
      <c r="A15" s="155" t="str">
        <f>'Microbial Info'!A16</f>
        <v>CBN10</v>
      </c>
      <c r="B15" s="135" t="s">
        <v>266</v>
      </c>
      <c r="C15" s="135" t="s">
        <v>267</v>
      </c>
      <c r="D15" s="135" t="s">
        <v>268</v>
      </c>
      <c r="E15" s="167"/>
      <c r="F15" s="155"/>
      <c r="G15" s="155"/>
      <c r="H15" s="155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ht="14.25" customHeight="1">
      <c r="A16" s="155" t="str">
        <f>'Microbial Info'!A17</f>
        <v>CBN12</v>
      </c>
      <c r="B16" s="135" t="s">
        <v>266</v>
      </c>
      <c r="C16" s="135" t="s">
        <v>267</v>
      </c>
      <c r="D16" s="135" t="s">
        <v>268</v>
      </c>
      <c r="E16" s="167"/>
      <c r="F16" s="155"/>
      <c r="G16" s="155"/>
      <c r="H16" s="155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ht="14.25" customHeight="1">
      <c r="A17" s="155" t="str">
        <f>'Microbial Info'!A18</f>
        <v>CBN13</v>
      </c>
      <c r="B17" s="135" t="s">
        <v>266</v>
      </c>
      <c r="C17" s="135" t="s">
        <v>267</v>
      </c>
      <c r="D17" s="135" t="s">
        <v>268</v>
      </c>
      <c r="E17" s="167"/>
      <c r="F17" s="155"/>
      <c r="G17" s="155"/>
      <c r="H17" s="155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ht="14.25" customHeight="1">
      <c r="A18" s="155" t="str">
        <f>'Microbial Info'!A19</f>
        <v>CBN16</v>
      </c>
      <c r="B18" s="135" t="s">
        <v>266</v>
      </c>
      <c r="C18" s="135" t="s">
        <v>267</v>
      </c>
      <c r="D18" s="135" t="s">
        <v>268</v>
      </c>
      <c r="E18" s="167"/>
      <c r="F18" s="155"/>
      <c r="G18" s="155"/>
      <c r="H18" s="155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 ht="14.25" customHeight="1">
      <c r="A19" s="155" t="str">
        <f>'Microbial Info'!A20</f>
        <v>CBN19</v>
      </c>
      <c r="B19" s="135" t="s">
        <v>266</v>
      </c>
      <c r="C19" s="135" t="s">
        <v>267</v>
      </c>
      <c r="D19" s="135" t="s">
        <v>268</v>
      </c>
      <c r="E19" s="167"/>
      <c r="F19" s="155"/>
      <c r="G19" s="155"/>
      <c r="H19" s="155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 ht="14.25" customHeight="1">
      <c r="A20" s="155" t="str">
        <f>'Microbial Info'!A21</f>
        <v>CBN5</v>
      </c>
      <c r="B20" s="135" t="s">
        <v>266</v>
      </c>
      <c r="C20" s="135" t="s">
        <v>267</v>
      </c>
      <c r="D20" s="135" t="s">
        <v>268</v>
      </c>
      <c r="E20" s="167"/>
      <c r="F20" s="155"/>
      <c r="G20" s="155"/>
      <c r="H20" s="155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ht="14.25" customHeight="1">
      <c r="A21" s="155" t="str">
        <f>'Microbial Info'!A22</f>
        <v>CBN7</v>
      </c>
      <c r="B21" s="135" t="s">
        <v>266</v>
      </c>
      <c r="C21" s="135" t="s">
        <v>267</v>
      </c>
      <c r="D21" s="135" t="s">
        <v>268</v>
      </c>
      <c r="E21" s="167"/>
      <c r="F21" s="155"/>
      <c r="G21" s="155"/>
      <c r="H21" s="155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ht="14.25" customHeight="1">
      <c r="A22" s="155" t="str">
        <f>'Microbial Info'!A23</f>
        <v>MCL001</v>
      </c>
      <c r="B22" s="135" t="s">
        <v>269</v>
      </c>
      <c r="C22" s="168" t="s">
        <v>270</v>
      </c>
      <c r="D22" s="135" t="s">
        <v>216</v>
      </c>
      <c r="E22" s="169"/>
      <c r="F22" s="155"/>
      <c r="G22" s="155"/>
      <c r="H22" s="155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 ht="14.25" customHeight="1">
      <c r="A23" s="155" t="str">
        <f>'Microbial Info'!A24</f>
        <v>MCL002</v>
      </c>
      <c r="B23" s="135" t="s">
        <v>269</v>
      </c>
      <c r="C23" s="168" t="s">
        <v>270</v>
      </c>
      <c r="D23" s="135" t="s">
        <v>216</v>
      </c>
      <c r="E23" s="169"/>
      <c r="F23" s="155"/>
      <c r="G23" s="155"/>
      <c r="H23" s="155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 ht="14.25" customHeight="1">
      <c r="A24" s="155" t="str">
        <f>'Microbial Info'!A25</f>
        <v>MCL003</v>
      </c>
      <c r="B24" s="135" t="s">
        <v>269</v>
      </c>
      <c r="C24" s="168" t="s">
        <v>270</v>
      </c>
      <c r="D24" s="135" t="s">
        <v>216</v>
      </c>
      <c r="E24" s="169"/>
      <c r="F24" s="155"/>
      <c r="G24" s="155"/>
      <c r="H24" s="155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 ht="14.25" customHeight="1">
      <c r="A25" s="155" t="str">
        <f>'Microbial Info'!A26</f>
        <v>MCL004</v>
      </c>
      <c r="B25" s="135" t="s">
        <v>269</v>
      </c>
      <c r="C25" s="168" t="s">
        <v>270</v>
      </c>
      <c r="D25" s="135" t="s">
        <v>216</v>
      </c>
      <c r="E25" s="169"/>
      <c r="F25" s="155"/>
      <c r="G25" s="155"/>
      <c r="H25" s="155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 ht="14.25" customHeight="1">
      <c r="A26" s="155" t="str">
        <f>'Microbial Info'!A27</f>
        <v>MCL005</v>
      </c>
      <c r="B26" s="135" t="s">
        <v>269</v>
      </c>
      <c r="C26" s="168" t="s">
        <v>270</v>
      </c>
      <c r="D26" s="135" t="s">
        <v>216</v>
      </c>
      <c r="E26" s="169"/>
      <c r="F26" s="155"/>
      <c r="G26" s="155"/>
      <c r="H26" s="155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 ht="14.25" customHeight="1">
      <c r="A27" s="155" t="str">
        <f>'Microbial Info'!A28</f>
        <v>MCL006</v>
      </c>
      <c r="B27" s="135" t="s">
        <v>269</v>
      </c>
      <c r="C27" s="168" t="s">
        <v>270</v>
      </c>
      <c r="D27" s="135" t="s">
        <v>216</v>
      </c>
      <c r="E27" s="169"/>
      <c r="F27" s="155"/>
      <c r="G27" s="155"/>
      <c r="H27" s="155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 ht="14.25" customHeight="1">
      <c r="A28" s="155" t="str">
        <f>'Microbial Info'!A29</f>
        <v>MCL007</v>
      </c>
      <c r="B28" s="135" t="s">
        <v>269</v>
      </c>
      <c r="C28" s="168" t="s">
        <v>270</v>
      </c>
      <c r="D28" s="135" t="s">
        <v>216</v>
      </c>
      <c r="E28" s="169"/>
      <c r="F28" s="155"/>
      <c r="G28" s="155"/>
      <c r="H28" s="155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ht="14.25" customHeight="1">
      <c r="A29" s="155" t="str">
        <f>'Microbial Info'!A30</f>
        <v>MCL008</v>
      </c>
      <c r="B29" s="135" t="s">
        <v>269</v>
      </c>
      <c r="C29" s="168" t="s">
        <v>270</v>
      </c>
      <c r="D29" s="135" t="s">
        <v>216</v>
      </c>
      <c r="E29" s="169"/>
      <c r="F29" s="155"/>
      <c r="G29" s="155"/>
      <c r="H29" s="155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 ht="14.25" customHeight="1">
      <c r="A30" s="155" t="str">
        <f>'Microbial Info'!A31</f>
        <v>MCL009</v>
      </c>
      <c r="B30" s="135" t="s">
        <v>269</v>
      </c>
      <c r="C30" s="168" t="s">
        <v>270</v>
      </c>
      <c r="D30" s="135" t="s">
        <v>216</v>
      </c>
      <c r="E30" s="169"/>
      <c r="F30" s="155"/>
      <c r="G30" s="155"/>
      <c r="H30" s="155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ht="14.25" customHeight="1">
      <c r="A31" s="155" t="str">
        <f>'Microbial Info'!A32</f>
        <v>MCL0010</v>
      </c>
      <c r="B31" s="135" t="s">
        <v>269</v>
      </c>
      <c r="C31" s="168" t="s">
        <v>270</v>
      </c>
      <c r="D31" s="135" t="s">
        <v>216</v>
      </c>
      <c r="E31" s="169"/>
      <c r="F31" s="155"/>
      <c r="G31" s="155"/>
      <c r="H31" s="155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 ht="14.25" customHeight="1">
      <c r="A32" s="155" t="str">
        <f>'Microbial Info'!A33</f>
        <v>MCL0011</v>
      </c>
      <c r="B32" s="135" t="s">
        <v>269</v>
      </c>
      <c r="C32" s="168" t="s">
        <v>270</v>
      </c>
      <c r="D32" s="135" t="s">
        <v>216</v>
      </c>
      <c r="E32" s="169"/>
      <c r="F32" s="155"/>
      <c r="G32" s="155"/>
      <c r="H32" s="155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</row>
    <row r="33" ht="14.25" customHeight="1">
      <c r="A33" s="155" t="str">
        <f>'Microbial Info'!A34</f>
        <v>MCL0012</v>
      </c>
      <c r="B33" s="135" t="s">
        <v>269</v>
      </c>
      <c r="C33" s="168" t="s">
        <v>270</v>
      </c>
      <c r="D33" s="135" t="s">
        <v>216</v>
      </c>
      <c r="E33" s="169"/>
      <c r="F33" s="155"/>
      <c r="G33" s="155"/>
      <c r="H33" s="155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ht="14.25" customHeight="1">
      <c r="A34" s="155" t="str">
        <f>'Microbial Info'!A35</f>
        <v>MCL0013</v>
      </c>
      <c r="B34" s="135" t="s">
        <v>269</v>
      </c>
      <c r="C34" s="168" t="s">
        <v>270</v>
      </c>
      <c r="D34" s="135" t="s">
        <v>216</v>
      </c>
      <c r="E34" s="169"/>
      <c r="F34" s="155"/>
      <c r="G34" s="155"/>
      <c r="H34" s="155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ht="14.25" customHeight="1">
      <c r="A35" s="155" t="str">
        <f>'Microbial Info'!A36</f>
        <v>MCL0014</v>
      </c>
      <c r="B35" s="135" t="s">
        <v>269</v>
      </c>
      <c r="C35" s="168" t="s">
        <v>270</v>
      </c>
      <c r="D35" s="135" t="s">
        <v>216</v>
      </c>
      <c r="E35" s="169"/>
      <c r="F35" s="155"/>
      <c r="G35" s="155"/>
      <c r="H35" s="155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ht="14.25" customHeight="1">
      <c r="A36" s="155" t="str">
        <f>'Microbial Info'!A37</f>
        <v>MCL0015</v>
      </c>
      <c r="B36" s="135" t="s">
        <v>269</v>
      </c>
      <c r="C36" s="168" t="s">
        <v>270</v>
      </c>
      <c r="D36" s="135" t="s">
        <v>216</v>
      </c>
      <c r="E36" s="169"/>
      <c r="F36" s="155"/>
      <c r="G36" s="155"/>
      <c r="H36" s="155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ht="14.25" customHeight="1">
      <c r="A37" s="155" t="str">
        <f>'Microbial Info'!A38</f>
        <v>MCL0016</v>
      </c>
      <c r="B37" s="135" t="s">
        <v>269</v>
      </c>
      <c r="C37" s="168" t="s">
        <v>270</v>
      </c>
      <c r="D37" s="135" t="s">
        <v>216</v>
      </c>
      <c r="E37" s="169"/>
      <c r="F37" s="155"/>
      <c r="G37" s="155"/>
      <c r="H37" s="155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ht="14.25" customHeight="1">
      <c r="A38" s="155" t="str">
        <f>'Microbial Info'!A39</f>
        <v>MCL0017</v>
      </c>
      <c r="B38" s="135" t="s">
        <v>269</v>
      </c>
      <c r="C38" s="168" t="s">
        <v>270</v>
      </c>
      <c r="D38" s="135" t="s">
        <v>216</v>
      </c>
      <c r="E38" s="169"/>
      <c r="F38" s="155"/>
      <c r="G38" s="155"/>
      <c r="H38" s="155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ht="14.25" customHeight="1">
      <c r="A39" s="155" t="str">
        <f>'Microbial Info'!A40</f>
        <v>MCL0018</v>
      </c>
      <c r="B39" s="135" t="s">
        <v>269</v>
      </c>
      <c r="C39" s="168" t="s">
        <v>270</v>
      </c>
      <c r="D39" s="135" t="s">
        <v>216</v>
      </c>
      <c r="E39" s="169"/>
      <c r="F39" s="155"/>
      <c r="G39" s="155"/>
      <c r="H39" s="155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ht="14.25" customHeight="1">
      <c r="A40" s="155" t="str">
        <f>'Microbial Info'!A41</f>
        <v>MCL0019</v>
      </c>
      <c r="B40" s="135" t="s">
        <v>269</v>
      </c>
      <c r="C40" s="168" t="s">
        <v>270</v>
      </c>
      <c r="D40" s="135" t="s">
        <v>216</v>
      </c>
      <c r="E40" s="169"/>
      <c r="F40" s="155"/>
      <c r="G40" s="155"/>
      <c r="H40" s="155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ht="14.25" customHeight="1">
      <c r="A41" s="155" t="str">
        <f>'Microbial Info'!A42</f>
        <v>MCL0020</v>
      </c>
      <c r="B41" s="135" t="s">
        <v>269</v>
      </c>
      <c r="C41" s="168" t="s">
        <v>270</v>
      </c>
      <c r="D41" s="135" t="s">
        <v>216</v>
      </c>
      <c r="E41" s="169"/>
      <c r="F41" s="155"/>
      <c r="G41" s="155"/>
      <c r="H41" s="155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ht="14.25" customHeight="1">
      <c r="A42" s="155" t="str">
        <f>'Microbial Info'!A43</f>
        <v>MCL0021</v>
      </c>
      <c r="B42" s="152" t="s">
        <v>269</v>
      </c>
      <c r="C42" s="168" t="s">
        <v>270</v>
      </c>
      <c r="D42" s="135" t="s">
        <v>216</v>
      </c>
      <c r="E42" s="169"/>
      <c r="F42" s="155"/>
      <c r="G42" s="155"/>
      <c r="H42" s="155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ht="14.25" customHeight="1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ht="14.25" customHeight="1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ht="14.25" customHeight="1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ht="14.25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ht="14.25" customHeight="1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ht="14.25" customHeight="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ht="14.25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ht="14.25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ht="14.25" customHeight="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ht="14.2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ht="14.2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ht="14.2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ht="14.2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ht="14.2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ht="14.2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ht="14.2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ht="14.25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ht="14.25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ht="14.25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ht="14.25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ht="14.25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ht="14.25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ht="14.25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ht="14.25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ht="14.25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ht="14.25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ht="14.25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ht="14.25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ht="14.25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ht="14.25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ht="14.25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ht="14.25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ht="14.25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ht="14.25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ht="14.2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ht="14.2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ht="14.2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ht="14.2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ht="14.2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ht="14.2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ht="14.2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ht="14.2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ht="14.2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ht="14.2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ht="14.2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ht="14.2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ht="14.2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ht="14.2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ht="14.2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ht="14.2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ht="14.2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ht="14.2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ht="14.2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ht="14.2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ht="14.2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ht="14.2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ht="14.2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ht="14.2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ht="14.2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ht="14.2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ht="14.2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ht="14.2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ht="14.2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ht="14.2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ht="14.2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ht="14.2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ht="14.2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ht="14.2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ht="14.2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ht="14.2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ht="14.2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ht="14.2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ht="14.2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ht="14.2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ht="14.2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ht="14.2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ht="14.2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ht="14.2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ht="14.2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ht="14.2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ht="14.2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ht="14.2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ht="14.2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ht="14.2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ht="14.2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ht="14.2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ht="14.2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ht="14.2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ht="14.2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ht="14.2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ht="14.2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ht="14.2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ht="14.2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ht="14.2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ht="14.2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ht="14.2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ht="14.2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ht="14.2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ht="14.2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ht="14.2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ht="14.2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ht="14.2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ht="14.2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ht="14.2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ht="14.2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ht="14.2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ht="14.2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ht="14.2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ht="14.2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ht="14.2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ht="14.2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ht="14.2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ht="14.2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ht="14.2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ht="14.2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ht="14.2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ht="14.2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ht="14.2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ht="14.2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ht="14.2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ht="14.2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ht="14.2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ht="14.2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ht="14.2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ht="14.2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ht="14.2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ht="14.2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ht="14.2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ht="14.2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ht="14.2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ht="14.2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ht="14.2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ht="14.2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ht="14.2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ht="14.2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ht="14.2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ht="14.2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ht="14.2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ht="14.2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ht="14.2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ht="14.2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ht="14.2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ht="14.2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ht="14.2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ht="14.2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ht="14.2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ht="14.2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ht="14.2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ht="14.2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ht="14.2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ht="14.2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ht="14.2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ht="14.2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ht="14.2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ht="14.2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ht="14.2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ht="14.2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ht="14.2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ht="14.2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ht="14.2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ht="14.2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ht="14.2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ht="14.2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ht="14.2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ht="14.2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ht="14.2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ht="14.2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ht="14.2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ht="14.2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ht="14.2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ht="14.2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ht="14.2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ht="14.2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ht="14.2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ht="14.2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ht="14.2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ht="14.2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ht="14.2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ht="14.2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ht="14.2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ht="14.2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ht="14.2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ht="14.2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ht="14.2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ht="14.2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ht="14.2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ht="14.2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ht="14.2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ht="14.2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ht="14.2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ht="14.2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ht="14.2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ht="14.2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ht="14.2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ht="14.2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ht="14.2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ht="14.2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ht="14.2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ht="14.2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ht="14.2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ht="14.2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ht="14.2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ht="14.2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ht="14.2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ht="14.2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ht="14.2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ht="14.2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ht="14.2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ht="14.2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ht="14.2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ht="14.2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ht="14.2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ht="14.2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ht="14.2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ht="14.2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ht="14.2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ht="14.2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ht="14.2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ht="14.2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ht="14.2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ht="14.2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ht="14.2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ht="14.2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ht="14.2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ht="14.2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ht="14.2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ht="14.2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ht="14.2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ht="14.2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ht="14.2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ht="14.2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ht="14.2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ht="14.2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ht="14.2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ht="14.25" customHeight="1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ht="14.25" customHeight="1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ht="14.25" customHeight="1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ht="14.25" customHeight="1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ht="14.25" customHeight="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ht="14.25" customHeight="1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ht="14.25" customHeight="1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ht="14.25" customHeight="1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ht="14.25" customHeight="1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ht="14.25" customHeight="1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ht="14.25" customHeight="1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ht="14.25" customHeight="1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ht="14.25" customHeight="1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ht="14.25" customHeight="1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ht="14.25" customHeight="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ht="14.25" customHeight="1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ht="14.25" customHeight="1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ht="14.25" customHeight="1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ht="14.25" customHeight="1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ht="14.25" customHeight="1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ht="14.25" customHeight="1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ht="14.25" customHeight="1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ht="14.25" customHeight="1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ht="14.25" customHeight="1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ht="14.25" customHeight="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ht="14.25" customHeight="1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ht="14.25" customHeight="1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ht="14.25" customHeight="1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ht="14.25" customHeight="1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ht="14.25" customHeight="1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ht="14.25" customHeight="1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ht="14.25" customHeight="1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ht="14.25" customHeight="1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ht="14.25" customHeight="1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ht="14.25" customHeight="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ht="14.25" customHeight="1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ht="14.25" customHeight="1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ht="14.25" customHeight="1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ht="14.25" customHeight="1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ht="14.25" customHeight="1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ht="14.25" customHeight="1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ht="14.25" customHeight="1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ht="14.25" customHeight="1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ht="14.25" customHeight="1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ht="14.25" customHeight="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ht="14.25" customHeight="1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ht="14.25" customHeight="1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ht="14.25" customHeight="1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ht="14.25" customHeight="1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ht="14.25" customHeight="1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ht="14.25" customHeight="1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ht="14.25" customHeight="1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ht="14.25" customHeight="1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ht="14.25" customHeight="1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ht="14.25" customHeight="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ht="14.25" customHeight="1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ht="14.25" customHeight="1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ht="14.25" customHeight="1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ht="14.25" customHeight="1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ht="14.25" customHeight="1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ht="14.25" customHeight="1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ht="14.25" customHeight="1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ht="14.25" customHeight="1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ht="14.25" customHeight="1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ht="14.25" customHeight="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ht="14.25" customHeight="1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ht="14.25" customHeight="1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ht="14.25" customHeight="1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ht="14.25" customHeight="1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ht="14.25" customHeight="1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ht="14.25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ht="14.25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ht="14.25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ht="14.25" customHeight="1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ht="14.25" customHeight="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ht="14.25" customHeight="1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ht="14.25" customHeight="1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ht="14.25" customHeight="1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ht="14.25" customHeight="1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ht="14.25" customHeight="1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ht="14.25" customHeight="1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ht="14.25" customHeight="1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ht="14.25" customHeight="1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ht="14.25" customHeight="1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ht="14.25" customHeight="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ht="14.25" customHeight="1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ht="14.25" customHeight="1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ht="14.25" customHeight="1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ht="14.25" customHeight="1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ht="14.25" customHeight="1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ht="14.25" customHeight="1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ht="14.25" customHeight="1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ht="14.25" customHeight="1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ht="14.25" customHeight="1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ht="14.25" customHeight="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ht="14.25" customHeight="1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ht="14.25" customHeight="1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ht="14.25" customHeight="1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ht="14.25" customHeight="1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ht="14.25" customHeight="1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ht="14.25" customHeight="1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ht="14.25" customHeight="1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ht="14.25" customHeight="1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ht="14.25" customHeight="1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ht="14.25" customHeight="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ht="14.25" customHeight="1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ht="14.25" customHeight="1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ht="14.25" customHeight="1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ht="14.25" customHeight="1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ht="14.25" customHeight="1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ht="14.25" customHeight="1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ht="14.25" customHeight="1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ht="14.25" customHeight="1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ht="14.25" customHeight="1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ht="14.25" customHeight="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ht="14.25" customHeight="1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ht="14.25" customHeight="1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ht="14.25" customHeight="1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ht="14.25" customHeight="1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ht="14.25" customHeight="1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ht="14.25" customHeight="1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ht="14.25" customHeight="1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ht="14.25" customHeight="1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ht="14.25" customHeight="1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ht="14.25" customHeight="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ht="14.25" customHeight="1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ht="14.25" customHeight="1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ht="14.25" customHeight="1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ht="14.25" customHeight="1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ht="14.25" customHeight="1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ht="14.25" customHeight="1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ht="14.25" customHeight="1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ht="14.25" customHeight="1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ht="14.25" customHeight="1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ht="14.25" customHeight="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ht="14.25" customHeight="1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ht="14.25" customHeight="1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ht="14.25" customHeight="1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ht="14.25" customHeight="1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ht="14.25" customHeight="1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ht="14.25" customHeight="1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ht="14.25" customHeight="1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ht="14.25" customHeight="1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ht="14.25" customHeight="1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ht="14.25" customHeight="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ht="14.25" customHeight="1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ht="14.25" customHeight="1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ht="14.25" customHeight="1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ht="14.25" customHeight="1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ht="14.25" customHeight="1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ht="14.25" customHeight="1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ht="14.25" customHeight="1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ht="14.25" customHeight="1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ht="14.25" customHeight="1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ht="14.25" customHeight="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ht="14.25" customHeight="1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ht="14.25" customHeight="1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ht="14.25" customHeight="1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ht="14.25" customHeight="1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ht="14.25" customHeight="1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ht="14.25" customHeight="1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ht="14.25" customHeight="1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ht="14.25" customHeight="1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ht="14.25" customHeight="1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ht="14.25" customHeight="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ht="14.25" customHeight="1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ht="14.25" customHeight="1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ht="14.25" customHeight="1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ht="14.25" customHeight="1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ht="14.25" customHeight="1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ht="14.25" customHeight="1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ht="14.25" customHeight="1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ht="14.25" customHeight="1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ht="14.25" customHeight="1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ht="14.25" customHeight="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ht="14.25" customHeight="1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ht="14.25" customHeight="1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ht="14.25" customHeight="1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ht="14.25" customHeight="1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ht="14.25" customHeight="1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ht="14.25" customHeight="1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ht="14.25" customHeight="1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ht="14.25" customHeight="1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ht="14.25" customHeight="1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ht="14.25" customHeight="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ht="14.25" customHeight="1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ht="14.25" customHeight="1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ht="14.25" customHeight="1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ht="14.25" customHeight="1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ht="14.25" customHeight="1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ht="14.25" customHeight="1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ht="14.25" customHeight="1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ht="14.25" customHeight="1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ht="14.25" customHeight="1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ht="14.25" customHeight="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ht="14.25" customHeight="1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ht="14.25" customHeight="1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ht="14.25" customHeight="1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ht="14.25" customHeight="1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ht="14.25" customHeight="1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ht="14.25" customHeight="1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ht="14.25" customHeight="1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ht="14.25" customHeight="1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ht="14.25" customHeight="1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ht="14.25" customHeight="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ht="14.25" customHeight="1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ht="14.25" customHeight="1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ht="14.25" customHeight="1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ht="14.25" customHeight="1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ht="14.25" customHeight="1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ht="14.25" customHeight="1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ht="14.25" customHeight="1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ht="14.25" customHeight="1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ht="14.25" customHeight="1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ht="14.25" customHeight="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ht="14.25" customHeight="1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ht="14.25" customHeight="1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ht="14.25" customHeight="1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ht="14.25" customHeight="1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ht="14.25" customHeight="1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ht="14.25" customHeight="1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ht="14.25" customHeight="1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ht="14.25" customHeight="1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ht="14.25" customHeight="1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ht="14.25" customHeight="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ht="14.25" customHeight="1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ht="14.25" customHeight="1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ht="14.25" customHeight="1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ht="14.25" customHeight="1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ht="14.25" customHeight="1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ht="14.25" customHeight="1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ht="14.25" customHeight="1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ht="14.25" customHeight="1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ht="14.25" customHeight="1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ht="14.25" customHeight="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ht="14.25" customHeight="1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ht="14.25" customHeight="1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ht="14.25" customHeight="1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ht="14.25" customHeight="1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ht="14.25" customHeight="1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ht="14.25" customHeight="1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ht="14.25" customHeight="1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ht="14.25" customHeight="1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ht="14.25" customHeight="1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ht="14.25" customHeight="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ht="14.25" customHeight="1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ht="14.25" customHeight="1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ht="14.25" customHeight="1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ht="14.25" customHeight="1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ht="14.25" customHeight="1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ht="14.25" customHeight="1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ht="14.25" customHeight="1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ht="14.25" customHeight="1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ht="14.25" customHeight="1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ht="14.25" customHeight="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ht="14.25" customHeight="1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ht="14.25" customHeight="1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ht="14.25" customHeight="1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ht="14.25" customHeight="1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ht="14.25" customHeight="1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ht="14.25" customHeight="1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ht="14.25" customHeight="1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ht="14.25" customHeight="1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ht="14.25" customHeight="1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ht="14.25" customHeight="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ht="14.25" customHeight="1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ht="14.25" customHeight="1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ht="14.25" customHeight="1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ht="14.25" customHeight="1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ht="14.25" customHeight="1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ht="14.25" customHeight="1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ht="14.25" customHeight="1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ht="14.25" customHeight="1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ht="14.25" customHeight="1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ht="14.25" customHeight="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ht="14.25" customHeight="1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ht="14.25" customHeight="1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ht="14.25" customHeight="1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ht="14.25" customHeight="1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ht="14.25" customHeight="1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ht="14.25" customHeight="1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ht="14.25" customHeight="1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ht="14.25" customHeight="1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ht="14.25" customHeight="1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ht="14.25" customHeight="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ht="14.25" customHeight="1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ht="14.25" customHeight="1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ht="14.25" customHeight="1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ht="14.25" customHeight="1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ht="14.25" customHeight="1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ht="14.25" customHeight="1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ht="14.25" customHeight="1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ht="14.25" customHeight="1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ht="14.25" customHeight="1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ht="14.25" customHeight="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ht="14.25" customHeight="1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ht="14.25" customHeight="1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ht="14.25" customHeight="1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ht="14.25" customHeight="1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ht="14.25" customHeight="1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ht="14.25" customHeight="1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ht="14.25" customHeight="1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ht="14.25" customHeight="1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ht="14.25" customHeight="1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ht="14.25" customHeight="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ht="14.25" customHeight="1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ht="14.25" customHeight="1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ht="14.25" customHeight="1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ht="14.25" customHeight="1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ht="14.25" customHeight="1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ht="14.25" customHeight="1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ht="14.25" customHeight="1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ht="14.25" customHeight="1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ht="14.25" customHeight="1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ht="14.25" customHeight="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ht="14.25" customHeight="1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ht="14.25" customHeight="1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ht="14.25" customHeight="1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ht="14.25" customHeight="1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ht="14.25" customHeight="1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ht="14.25" customHeight="1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ht="14.25" customHeight="1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ht="14.25" customHeight="1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ht="14.25" customHeight="1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ht="14.25" customHeight="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ht="14.25" customHeight="1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ht="14.25" customHeight="1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ht="14.25" customHeight="1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ht="14.25" customHeight="1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ht="14.25" customHeight="1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ht="14.25" customHeight="1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ht="14.25" customHeight="1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ht="14.25" customHeight="1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ht="14.25" customHeight="1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ht="14.25" customHeight="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ht="14.25" customHeight="1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ht="14.25" customHeight="1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ht="14.25" customHeight="1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ht="14.25" customHeight="1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ht="14.25" customHeight="1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ht="14.25" customHeight="1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ht="14.25" customHeight="1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ht="14.25" customHeight="1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ht="14.25" customHeight="1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ht="14.25" customHeight="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ht="14.25" customHeight="1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ht="14.25" customHeight="1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ht="14.25" customHeight="1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ht="14.25" customHeight="1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ht="14.25" customHeight="1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ht="14.25" customHeight="1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ht="14.25" customHeight="1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ht="14.25" customHeight="1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ht="14.25" customHeight="1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ht="14.25" customHeight="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ht="14.25" customHeight="1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ht="14.25" customHeight="1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ht="14.25" customHeight="1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ht="14.25" customHeight="1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ht="14.25" customHeight="1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ht="14.25" customHeight="1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ht="14.25" customHeight="1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ht="14.25" customHeight="1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ht="14.25" customHeight="1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ht="14.25" customHeight="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ht="14.25" customHeight="1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ht="14.25" customHeight="1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ht="14.25" customHeight="1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ht="14.25" customHeight="1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ht="14.25" customHeight="1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ht="14.25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ht="14.25" customHeight="1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ht="14.25" customHeight="1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ht="14.25" customHeight="1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ht="14.25" customHeight="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ht="14.25" customHeight="1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ht="14.25" customHeight="1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ht="14.25" customHeight="1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ht="14.25" customHeight="1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ht="14.25" customHeight="1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ht="14.25" customHeight="1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ht="14.25" customHeight="1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ht="14.25" customHeight="1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ht="14.25" customHeight="1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ht="14.25" customHeight="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ht="14.25" customHeight="1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ht="14.25" customHeight="1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ht="14.25" customHeight="1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ht="14.25" customHeight="1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ht="14.25" customHeight="1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ht="14.25" customHeight="1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ht="14.25" customHeight="1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ht="14.25" customHeight="1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ht="14.25" customHeight="1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ht="14.25" customHeight="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ht="14.25" customHeight="1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ht="14.25" customHeight="1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ht="14.25" customHeight="1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ht="14.25" customHeight="1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ht="14.25" customHeight="1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ht="14.25" customHeight="1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ht="14.25" customHeight="1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ht="14.25" customHeight="1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ht="14.25" customHeight="1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ht="14.25" customHeight="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ht="14.25" customHeight="1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ht="14.25" customHeight="1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ht="14.25" customHeight="1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ht="14.25" customHeight="1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ht="14.25" customHeight="1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ht="14.25" customHeight="1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ht="14.25" customHeight="1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ht="14.25" customHeight="1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ht="14.25" customHeight="1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ht="14.25" customHeight="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ht="14.25" customHeight="1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ht="14.25" customHeight="1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ht="14.25" customHeight="1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ht="14.25" customHeight="1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ht="14.25" customHeight="1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ht="14.25" customHeight="1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ht="14.25" customHeight="1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ht="14.25" customHeight="1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ht="14.25" customHeight="1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ht="14.25" customHeight="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ht="14.25" customHeight="1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ht="14.25" customHeight="1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ht="14.25" customHeight="1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ht="14.25" customHeight="1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ht="14.25" customHeight="1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ht="14.25" customHeight="1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ht="14.25" customHeight="1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ht="14.25" customHeight="1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ht="14.25" customHeight="1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ht="14.25" customHeight="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ht="14.25" customHeight="1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ht="14.25" customHeight="1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ht="14.25" customHeight="1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ht="14.25" customHeight="1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ht="14.25" customHeight="1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ht="14.25" customHeight="1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ht="14.25" customHeight="1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ht="14.25" customHeight="1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ht="14.25" customHeight="1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ht="14.25" customHeight="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ht="14.25" customHeight="1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ht="14.25" customHeight="1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ht="14.25" customHeight="1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ht="14.25" customHeight="1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ht="14.25" customHeight="1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ht="14.25" customHeight="1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ht="14.25" customHeight="1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ht="14.25" customHeight="1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ht="14.25" customHeight="1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ht="14.25" customHeight="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ht="14.25" customHeight="1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ht="14.25" customHeight="1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ht="14.25" customHeight="1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ht="14.25" customHeight="1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ht="14.25" customHeight="1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ht="14.25" customHeight="1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ht="14.25" customHeight="1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ht="14.25" customHeight="1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ht="14.25" customHeight="1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ht="14.25" customHeight="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ht="14.25" customHeight="1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ht="14.25" customHeight="1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ht="14.25" customHeight="1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ht="14.25" customHeight="1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ht="14.25" customHeight="1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ht="14.25" customHeight="1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ht="14.25" customHeight="1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ht="14.25" customHeight="1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ht="14.25" customHeight="1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ht="14.25" customHeight="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ht="14.25" customHeight="1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ht="14.25" customHeight="1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ht="14.25" customHeight="1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ht="14.25" customHeight="1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ht="14.25" customHeight="1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ht="14.25" customHeight="1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ht="14.25" customHeight="1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ht="14.25" customHeight="1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ht="14.25" customHeight="1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ht="14.25" customHeight="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ht="14.25" customHeight="1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ht="14.25" customHeight="1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ht="14.25" customHeight="1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ht="14.25" customHeight="1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ht="14.25" customHeight="1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ht="14.25" customHeight="1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ht="14.25" customHeight="1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ht="14.25" customHeight="1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ht="14.25" customHeight="1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ht="14.25" customHeight="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ht="14.25" customHeight="1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ht="14.25" customHeight="1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ht="14.25" customHeight="1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ht="14.25" customHeight="1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ht="14.25" customHeight="1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ht="14.25" customHeight="1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ht="14.25" customHeight="1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ht="14.25" customHeight="1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ht="14.25" customHeight="1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ht="14.25" customHeight="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ht="14.25" customHeight="1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ht="14.25" customHeight="1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ht="14.25" customHeight="1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ht="14.25" customHeight="1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ht="14.25" customHeight="1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ht="14.25" customHeight="1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ht="14.25" customHeight="1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ht="14.25" customHeight="1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ht="14.25" customHeight="1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ht="14.25" customHeight="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ht="14.25" customHeight="1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ht="14.25" customHeight="1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ht="14.25" customHeight="1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ht="14.25" customHeight="1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ht="14.25" customHeight="1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ht="14.25" customHeight="1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ht="14.25" customHeight="1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ht="14.25" customHeight="1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ht="14.25" customHeight="1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ht="14.25" customHeight="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ht="14.25" customHeight="1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ht="14.25" customHeight="1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ht="14.25" customHeight="1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ht="14.25" customHeight="1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ht="14.25" customHeight="1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ht="14.25" customHeight="1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ht="14.25" customHeight="1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ht="14.25" customHeight="1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ht="14.25" customHeight="1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ht="14.25" customHeight="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ht="14.25" customHeight="1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ht="14.25" customHeight="1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ht="14.25" customHeight="1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ht="14.25" customHeight="1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ht="14.25" customHeight="1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ht="14.25" customHeight="1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ht="14.25" customHeight="1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ht="14.25" customHeight="1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ht="14.25" customHeight="1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ht="14.25" customHeight="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ht="14.25" customHeight="1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ht="14.25" customHeight="1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ht="14.25" customHeight="1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ht="14.25" customHeight="1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ht="14.25" customHeight="1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ht="14.25" customHeight="1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ht="14.25" customHeight="1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ht="14.25" customHeight="1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ht="14.25" customHeight="1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ht="14.25" customHeight="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ht="14.25" customHeight="1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ht="14.25" customHeight="1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ht="14.25" customHeight="1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ht="14.25" customHeight="1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ht="14.25" customHeight="1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ht="14.25" customHeight="1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ht="14.25" customHeight="1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ht="14.25" customHeight="1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ht="14.25" customHeight="1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ht="14.25" customHeight="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ht="14.25" customHeight="1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ht="14.25" customHeight="1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ht="14.25" customHeight="1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ht="14.25" customHeight="1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ht="14.25" customHeight="1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ht="14.25" customHeight="1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ht="14.25" customHeight="1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ht="14.25" customHeight="1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ht="14.25" customHeight="1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ht="14.25" customHeight="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ht="14.25" customHeight="1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ht="14.25" customHeight="1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ht="14.25" customHeight="1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ht="14.25" customHeight="1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ht="14.25" customHeight="1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ht="14.25" customHeight="1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ht="14.25" customHeight="1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ht="14.25" customHeight="1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ht="14.25" customHeight="1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ht="14.25" customHeight="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ht="14.25" customHeight="1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ht="14.25" customHeight="1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ht="14.25" customHeight="1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ht="14.25" customHeight="1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ht="14.25" customHeight="1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ht="14.25" customHeight="1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ht="14.25" customHeight="1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ht="14.25" customHeight="1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ht="14.25" customHeight="1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ht="14.25" customHeight="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ht="14.25" customHeight="1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ht="14.25" customHeight="1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ht="14.25" customHeight="1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ht="14.25" customHeight="1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ht="14.25" customHeight="1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ht="14.25" customHeight="1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ht="14.25" customHeight="1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ht="14.25" customHeight="1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ht="14.25" customHeight="1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ht="14.25" customHeight="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ht="14.25" customHeight="1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ht="14.25" customHeight="1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ht="14.25" customHeight="1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ht="14.25" customHeight="1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ht="14.25" customHeight="1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ht="14.25" customHeight="1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ht="14.25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ht="14.25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ht="14.25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ht="14.25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ht="14.25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ht="14.25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ht="14.25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ht="14.25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ht="14.25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ht="14.25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ht="14.25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ht="14.25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ht="14.25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ht="14.25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ht="14.25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ht="14.25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ht="14.25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ht="14.25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ht="14.25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ht="14.25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ht="14.25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ht="14.25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ht="14.25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ht="14.25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ht="14.25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ht="14.25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ht="14.25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ht="14.25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ht="14.25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ht="14.25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ht="14.25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ht="14.25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ht="14.25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ht="14.25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ht="14.25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ht="14.25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ht="14.25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ht="14.25" customHeight="1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ht="14.25" customHeight="1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ht="14.25" customHeight="1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ht="14.25" customHeight="1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ht="14.25" customHeight="1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ht="14.25" customHeight="1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ht="14.25" customHeight="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ht="14.25" customHeight="1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ht="14.25" customHeight="1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ht="14.25" customHeight="1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ht="14.25" customHeight="1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ht="14.25" customHeight="1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ht="14.25" customHeight="1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ht="14.25" customHeight="1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ht="14.25" customHeight="1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ht="14.25" customHeight="1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ht="14.25" customHeight="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ht="14.25" customHeight="1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ht="14.25" customHeight="1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ht="14.25" customHeight="1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ht="14.25" customHeight="1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ht="14.25" customHeight="1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ht="14.25" customHeight="1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ht="14.25" customHeight="1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ht="14.25" customHeight="1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ht="14.25" customHeight="1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ht="14.25" customHeight="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ht="14.25" customHeight="1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ht="14.25" customHeight="1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ht="14.25" customHeight="1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ht="14.25" customHeight="1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ht="14.25" customHeight="1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ht="14.25" customHeight="1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ht="14.25" customHeight="1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ht="14.25" customHeight="1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ht="14.25" customHeight="1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ht="14.25" customHeight="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ht="14.25" customHeight="1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ht="14.25" customHeight="1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ht="14.25" customHeight="1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ht="14.25" customHeight="1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ht="14.25" customHeight="1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ht="14.25" customHeight="1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ht="14.25" customHeight="1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ht="14.25" customHeight="1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ht="14.25" customHeight="1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ht="14.25" customHeight="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ht="14.25" customHeight="1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ht="14.25" customHeight="1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ht="14.25" customHeight="1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ht="14.25" customHeight="1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ht="14.25" customHeight="1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ht="14.25" customHeight="1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ht="14.25" customHeight="1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ht="14.25" customHeight="1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ht="14.25" customHeight="1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ht="14.25" customHeight="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ht="14.25" customHeight="1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ht="14.25" customHeight="1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ht="14.25" customHeight="1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ht="14.25" customHeight="1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ht="14.25" customHeight="1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ht="14.25" customHeight="1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ht="14.25" customHeight="1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ht="14.25" customHeight="1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ht="14.25" customHeight="1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ht="14.25" customHeight="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ht="14.25" customHeight="1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ht="14.25" customHeight="1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ht="14.25" customHeight="1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ht="14.25" customHeight="1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ht="14.25" customHeight="1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ht="14.25" customHeight="1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ht="14.25" customHeight="1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ht="14.25" customHeight="1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 ht="14.25" customHeight="1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4.29"/>
    <col customWidth="1" min="3" max="3" width="23.86"/>
    <col customWidth="1" min="4" max="4" width="23.71"/>
    <col customWidth="1" min="5" max="5" width="13.29"/>
    <col customWidth="1" min="6" max="6" width="25.0"/>
    <col customWidth="1" min="7" max="10" width="24.43"/>
    <col customWidth="1" min="11" max="11" width="14.29"/>
    <col customWidth="1" min="12" max="12" width="27.14"/>
    <col customWidth="1" min="13" max="13" width="14.29"/>
    <col customWidth="1" min="14" max="26" width="8.71"/>
  </cols>
  <sheetData>
    <row r="1" ht="14.25" customHeight="1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ht="14.25" customHeight="1">
      <c r="A2" s="119"/>
      <c r="B2" s="119"/>
      <c r="C2" s="119"/>
      <c r="D2" s="170" t="s">
        <v>271</v>
      </c>
      <c r="E2" s="95"/>
      <c r="F2" s="95"/>
      <c r="G2" s="95"/>
      <c r="H2" s="95"/>
      <c r="I2" s="95"/>
      <c r="J2" s="95"/>
      <c r="K2" s="95"/>
      <c r="L2" s="95"/>
      <c r="M2" s="95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ht="14.25" customHeight="1">
      <c r="A3" s="163" t="s">
        <v>60</v>
      </c>
      <c r="B3" s="164" t="s">
        <v>272</v>
      </c>
      <c r="C3" s="165" t="s">
        <v>273</v>
      </c>
      <c r="D3" s="164" t="s">
        <v>274</v>
      </c>
      <c r="E3" s="164" t="s">
        <v>275</v>
      </c>
      <c r="F3" s="165" t="s">
        <v>276</v>
      </c>
      <c r="G3" s="164" t="s">
        <v>277</v>
      </c>
      <c r="H3" s="165" t="s">
        <v>278</v>
      </c>
      <c r="I3" s="164" t="s">
        <v>279</v>
      </c>
      <c r="J3" s="165" t="s">
        <v>280</v>
      </c>
      <c r="K3" s="164" t="s">
        <v>281</v>
      </c>
      <c r="L3" s="165" t="s">
        <v>282</v>
      </c>
      <c r="M3" s="164" t="s">
        <v>283</v>
      </c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</row>
    <row r="4" ht="14.25" customHeight="1">
      <c r="A4" s="155" t="str">
        <f>'Microbial Info'!A4</f>
        <v>ABN2</v>
      </c>
      <c r="B4" s="135" t="s">
        <v>284</v>
      </c>
      <c r="C4" s="155" t="s">
        <v>285</v>
      </c>
      <c r="D4" s="135" t="s">
        <v>286</v>
      </c>
      <c r="E4" s="135" t="s">
        <v>287</v>
      </c>
      <c r="F4" s="167"/>
      <c r="G4" s="167"/>
      <c r="H4" s="155"/>
      <c r="I4" s="155"/>
      <c r="J4" s="155"/>
      <c r="K4" s="155"/>
      <c r="L4" s="155"/>
      <c r="M4" s="155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ht="14.25" customHeight="1">
      <c r="A5" s="155" t="str">
        <f>'Microbial Info'!A5</f>
        <v>ABN8</v>
      </c>
      <c r="B5" s="135"/>
      <c r="C5" s="168"/>
      <c r="D5" s="135"/>
      <c r="E5" s="135"/>
      <c r="F5" s="167"/>
      <c r="G5" s="167"/>
      <c r="H5" s="155"/>
      <c r="I5" s="155"/>
      <c r="J5" s="155"/>
      <c r="K5" s="155"/>
      <c r="L5" s="155"/>
      <c r="M5" s="155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 ht="14.25" customHeight="1">
      <c r="A6" s="155" t="str">
        <f>'Microbial Info'!A6</f>
        <v>BBN22</v>
      </c>
      <c r="B6" s="155"/>
      <c r="C6" s="135"/>
      <c r="D6" s="135"/>
      <c r="E6" s="135"/>
      <c r="F6" s="167"/>
      <c r="G6" s="167"/>
      <c r="H6" s="155"/>
      <c r="I6" s="155"/>
      <c r="J6" s="155"/>
      <c r="K6" s="155"/>
      <c r="L6" s="155"/>
      <c r="M6" s="155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 ht="14.25" customHeight="1">
      <c r="A7" s="155" t="str">
        <f>'Microbial Info'!A7</f>
        <v>BBN23</v>
      </c>
      <c r="B7" s="155"/>
      <c r="C7" s="135"/>
      <c r="D7" s="135"/>
      <c r="E7" s="135"/>
      <c r="F7" s="167"/>
      <c r="G7" s="167"/>
      <c r="H7" s="155"/>
      <c r="I7" s="155"/>
      <c r="J7" s="155"/>
      <c r="K7" s="155"/>
      <c r="L7" s="155"/>
      <c r="M7" s="155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 ht="14.25" customHeight="1">
      <c r="A8" s="155" t="str">
        <f>'Microbial Info'!A8</f>
        <v>BBN24</v>
      </c>
      <c r="B8" s="155"/>
      <c r="C8" s="135"/>
      <c r="D8" s="135"/>
      <c r="E8" s="135"/>
      <c r="F8" s="167"/>
      <c r="G8" s="167"/>
      <c r="H8" s="155"/>
      <c r="I8" s="155"/>
      <c r="J8" s="155"/>
      <c r="K8" s="155"/>
      <c r="L8" s="155"/>
      <c r="M8" s="155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ht="14.25" customHeight="1">
      <c r="A9" s="155" t="str">
        <f>'Microbial Info'!A9</f>
        <v>BBN25</v>
      </c>
      <c r="B9" s="155"/>
      <c r="C9" s="135"/>
      <c r="D9" s="135"/>
      <c r="E9" s="135"/>
      <c r="F9" s="167"/>
      <c r="G9" s="167"/>
      <c r="H9" s="155"/>
      <c r="I9" s="155"/>
      <c r="J9" s="155"/>
      <c r="K9" s="155"/>
      <c r="L9" s="155"/>
      <c r="M9" s="155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ht="14.25" customHeight="1">
      <c r="A10" s="155" t="str">
        <f>'Microbial Info'!A10</f>
        <v>BBN26</v>
      </c>
      <c r="B10" s="155"/>
      <c r="C10" s="135"/>
      <c r="D10" s="135"/>
      <c r="E10" s="135"/>
      <c r="F10" s="167"/>
      <c r="G10" s="167"/>
      <c r="H10" s="155"/>
      <c r="I10" s="155"/>
      <c r="J10" s="155"/>
      <c r="K10" s="155"/>
      <c r="L10" s="155"/>
      <c r="M10" s="155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ht="14.25" customHeight="1">
      <c r="A11" s="155" t="str">
        <f>'Microbial Info'!A11</f>
        <v>BBN27</v>
      </c>
      <c r="B11" s="155"/>
      <c r="C11" s="135"/>
      <c r="D11" s="135"/>
      <c r="E11" s="135"/>
      <c r="F11" s="167"/>
      <c r="G11" s="167"/>
      <c r="H11" s="155"/>
      <c r="I11" s="155"/>
      <c r="J11" s="155"/>
      <c r="K11" s="155"/>
      <c r="L11" s="155"/>
      <c r="M11" s="155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ht="14.25" customHeight="1">
      <c r="A12" s="155" t="str">
        <f>'Microbial Info'!A12</f>
        <v>BBN32</v>
      </c>
      <c r="B12" s="155"/>
      <c r="C12" s="135"/>
      <c r="D12" s="135"/>
      <c r="E12" s="135"/>
      <c r="F12" s="167"/>
      <c r="G12" s="167"/>
      <c r="H12" s="155"/>
      <c r="I12" s="155"/>
      <c r="J12" s="155"/>
      <c r="K12" s="155"/>
      <c r="L12" s="155"/>
      <c r="M12" s="155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ht="14.25" customHeight="1">
      <c r="A13" s="155" t="str">
        <f>'Microbial Info'!A13</f>
        <v>BBN42</v>
      </c>
      <c r="B13" s="155"/>
      <c r="C13" s="135"/>
      <c r="D13" s="135"/>
      <c r="E13" s="135"/>
      <c r="F13" s="167"/>
      <c r="G13" s="167"/>
      <c r="H13" s="155"/>
      <c r="I13" s="155"/>
      <c r="J13" s="155"/>
      <c r="K13" s="155"/>
      <c r="L13" s="155"/>
      <c r="M13" s="155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ht="14.25" customHeight="1">
      <c r="A14" s="155" t="str">
        <f>'Microbial Info'!A14</f>
        <v>BBN44</v>
      </c>
      <c r="B14" s="155"/>
      <c r="C14" s="135"/>
      <c r="D14" s="135"/>
      <c r="E14" s="135"/>
      <c r="F14" s="167"/>
      <c r="G14" s="167"/>
      <c r="H14" s="155"/>
      <c r="I14" s="155"/>
      <c r="J14" s="155"/>
      <c r="K14" s="155"/>
      <c r="L14" s="155"/>
      <c r="M14" s="155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ht="14.25" customHeight="1">
      <c r="A15" s="155" t="str">
        <f>'Microbial Info'!A15</f>
        <v>CBN1</v>
      </c>
      <c r="B15" s="155"/>
      <c r="C15" s="135"/>
      <c r="D15" s="135"/>
      <c r="E15" s="135"/>
      <c r="F15" s="167"/>
      <c r="G15" s="167"/>
      <c r="H15" s="155"/>
      <c r="I15" s="155"/>
      <c r="J15" s="155"/>
      <c r="K15" s="155"/>
      <c r="L15" s="155"/>
      <c r="M15" s="155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ht="14.25" customHeight="1">
      <c r="A16" s="155" t="str">
        <f>'Microbial Info'!A16</f>
        <v>CBN10</v>
      </c>
      <c r="B16" s="155"/>
      <c r="C16" s="135"/>
      <c r="D16" s="135"/>
      <c r="E16" s="135"/>
      <c r="F16" s="167"/>
      <c r="G16" s="167"/>
      <c r="H16" s="155"/>
      <c r="I16" s="155"/>
      <c r="J16" s="155"/>
      <c r="K16" s="155"/>
      <c r="L16" s="155"/>
      <c r="M16" s="155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ht="14.25" customHeight="1">
      <c r="A17" s="155" t="str">
        <f>'Microbial Info'!A17</f>
        <v>CBN12</v>
      </c>
      <c r="B17" s="155"/>
      <c r="C17" s="135"/>
      <c r="D17" s="135"/>
      <c r="E17" s="135"/>
      <c r="F17" s="167"/>
      <c r="G17" s="167"/>
      <c r="H17" s="155"/>
      <c r="I17" s="155"/>
      <c r="J17" s="155"/>
      <c r="K17" s="155"/>
      <c r="L17" s="155"/>
      <c r="M17" s="155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ht="14.25" customHeight="1">
      <c r="A18" s="155" t="str">
        <f>'Microbial Info'!A18</f>
        <v>CBN13</v>
      </c>
      <c r="B18" s="155"/>
      <c r="C18" s="135"/>
      <c r="D18" s="135"/>
      <c r="E18" s="135"/>
      <c r="F18" s="167"/>
      <c r="G18" s="167"/>
      <c r="H18" s="155"/>
      <c r="I18" s="155"/>
      <c r="J18" s="155"/>
      <c r="K18" s="155"/>
      <c r="L18" s="155"/>
      <c r="M18" s="155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 ht="14.25" customHeight="1">
      <c r="A19" s="155" t="str">
        <f>'Microbial Info'!A19</f>
        <v>CBN16</v>
      </c>
      <c r="B19" s="155"/>
      <c r="C19" s="135"/>
      <c r="D19" s="135"/>
      <c r="E19" s="135"/>
      <c r="F19" s="167"/>
      <c r="G19" s="167"/>
      <c r="H19" s="155"/>
      <c r="I19" s="155"/>
      <c r="J19" s="155"/>
      <c r="K19" s="155"/>
      <c r="L19" s="155"/>
      <c r="M19" s="155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 ht="14.25" customHeight="1">
      <c r="A20" s="155" t="str">
        <f>'Microbial Info'!A20</f>
        <v>CBN19</v>
      </c>
      <c r="B20" s="155"/>
      <c r="C20" s="135"/>
      <c r="D20" s="135"/>
      <c r="E20" s="135"/>
      <c r="F20" s="167"/>
      <c r="G20" s="167"/>
      <c r="H20" s="155"/>
      <c r="I20" s="155"/>
      <c r="J20" s="155"/>
      <c r="K20" s="155"/>
      <c r="L20" s="155"/>
      <c r="M20" s="155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ht="14.25" customHeight="1">
      <c r="A21" s="155" t="str">
        <f>'Microbial Info'!A21</f>
        <v>CBN5</v>
      </c>
      <c r="B21" s="155"/>
      <c r="C21" s="135"/>
      <c r="D21" s="135"/>
      <c r="E21" s="135"/>
      <c r="F21" s="167"/>
      <c r="G21" s="167"/>
      <c r="H21" s="155"/>
      <c r="I21" s="155"/>
      <c r="J21" s="155"/>
      <c r="K21" s="155"/>
      <c r="L21" s="155"/>
      <c r="M21" s="155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ht="14.25" customHeight="1">
      <c r="A22" s="155" t="str">
        <f>'Microbial Info'!A22</f>
        <v>CBN7</v>
      </c>
      <c r="B22" s="155"/>
      <c r="C22" s="135"/>
      <c r="D22" s="135"/>
      <c r="E22" s="135"/>
      <c r="F22" s="167"/>
      <c r="G22" s="167"/>
      <c r="H22" s="155"/>
      <c r="I22" s="155"/>
      <c r="J22" s="155"/>
      <c r="K22" s="155"/>
      <c r="L22" s="155"/>
      <c r="M22" s="155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 ht="14.25" customHeight="1">
      <c r="A23" s="155" t="str">
        <f>'Microbial Info'!A23</f>
        <v>MCL001</v>
      </c>
      <c r="B23" s="155"/>
      <c r="C23" s="135"/>
      <c r="D23" s="168"/>
      <c r="E23" s="135"/>
      <c r="F23" s="169"/>
      <c r="G23" s="169"/>
      <c r="H23" s="155"/>
      <c r="I23" s="155"/>
      <c r="J23" s="155"/>
      <c r="K23" s="155"/>
      <c r="L23" s="155"/>
      <c r="M23" s="155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 ht="14.25" customHeight="1">
      <c r="A24" s="155" t="str">
        <f>'Microbial Info'!A24</f>
        <v>MCL002</v>
      </c>
      <c r="B24" s="155"/>
      <c r="C24" s="135"/>
      <c r="D24" s="168"/>
      <c r="E24" s="135"/>
      <c r="F24" s="169"/>
      <c r="G24" s="169"/>
      <c r="H24" s="155"/>
      <c r="I24" s="155"/>
      <c r="J24" s="155"/>
      <c r="K24" s="155"/>
      <c r="L24" s="155"/>
      <c r="M24" s="155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 ht="14.25" customHeight="1">
      <c r="A25" s="155" t="str">
        <f>'Microbial Info'!A25</f>
        <v>MCL003</v>
      </c>
      <c r="B25" s="155"/>
      <c r="C25" s="135"/>
      <c r="D25" s="168"/>
      <c r="E25" s="135"/>
      <c r="F25" s="169"/>
      <c r="G25" s="169"/>
      <c r="H25" s="155"/>
      <c r="I25" s="155"/>
      <c r="J25" s="155"/>
      <c r="K25" s="155"/>
      <c r="L25" s="155"/>
      <c r="M25" s="155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 ht="14.25" customHeight="1">
      <c r="A26" s="155" t="str">
        <f>'Microbial Info'!A26</f>
        <v>MCL004</v>
      </c>
      <c r="B26" s="155"/>
      <c r="C26" s="135"/>
      <c r="D26" s="168"/>
      <c r="E26" s="135"/>
      <c r="F26" s="169"/>
      <c r="G26" s="169"/>
      <c r="H26" s="155"/>
      <c r="I26" s="155"/>
      <c r="J26" s="155"/>
      <c r="K26" s="155"/>
      <c r="L26" s="155"/>
      <c r="M26" s="155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 ht="14.25" customHeight="1">
      <c r="A27" s="155" t="str">
        <f>'Microbial Info'!A27</f>
        <v>MCL005</v>
      </c>
      <c r="B27" s="155"/>
      <c r="C27" s="135"/>
      <c r="D27" s="168"/>
      <c r="E27" s="135"/>
      <c r="F27" s="169"/>
      <c r="G27" s="169"/>
      <c r="H27" s="155"/>
      <c r="I27" s="155"/>
      <c r="J27" s="155"/>
      <c r="K27" s="155"/>
      <c r="L27" s="155"/>
      <c r="M27" s="155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 ht="14.25" customHeight="1">
      <c r="A28" s="155" t="str">
        <f>'Microbial Info'!A28</f>
        <v>MCL006</v>
      </c>
      <c r="B28" s="155"/>
      <c r="C28" s="135"/>
      <c r="D28" s="168"/>
      <c r="E28" s="135"/>
      <c r="F28" s="169"/>
      <c r="G28" s="169"/>
      <c r="H28" s="155"/>
      <c r="I28" s="155"/>
      <c r="J28" s="155"/>
      <c r="K28" s="155"/>
      <c r="L28" s="155"/>
      <c r="M28" s="155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ht="14.25" customHeight="1">
      <c r="A29" s="155" t="str">
        <f>'Microbial Info'!A29</f>
        <v>MCL007</v>
      </c>
      <c r="B29" s="155"/>
      <c r="C29" s="135"/>
      <c r="D29" s="168"/>
      <c r="E29" s="135"/>
      <c r="F29" s="169"/>
      <c r="G29" s="169"/>
      <c r="H29" s="155"/>
      <c r="I29" s="155"/>
      <c r="J29" s="155"/>
      <c r="K29" s="155"/>
      <c r="L29" s="155"/>
      <c r="M29" s="155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 ht="14.25" customHeight="1">
      <c r="A30" s="155" t="str">
        <f>'Microbial Info'!A30</f>
        <v>MCL008</v>
      </c>
      <c r="B30" s="155"/>
      <c r="C30" s="135"/>
      <c r="D30" s="168"/>
      <c r="E30" s="135"/>
      <c r="F30" s="169"/>
      <c r="G30" s="169"/>
      <c r="H30" s="155"/>
      <c r="I30" s="155"/>
      <c r="J30" s="155"/>
      <c r="K30" s="155"/>
      <c r="L30" s="155"/>
      <c r="M30" s="155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ht="14.25" customHeight="1">
      <c r="A31" s="155" t="str">
        <f>'Microbial Info'!A31</f>
        <v>MCL009</v>
      </c>
      <c r="B31" s="155"/>
      <c r="C31" s="135"/>
      <c r="D31" s="168"/>
      <c r="E31" s="135"/>
      <c r="F31" s="169"/>
      <c r="G31" s="169"/>
      <c r="H31" s="155"/>
      <c r="I31" s="155"/>
      <c r="J31" s="155"/>
      <c r="K31" s="155"/>
      <c r="L31" s="155"/>
      <c r="M31" s="155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 ht="14.25" customHeight="1">
      <c r="A32" s="155" t="str">
        <f>'Microbial Info'!A32</f>
        <v>MCL0010</v>
      </c>
      <c r="B32" s="155"/>
      <c r="C32" s="135"/>
      <c r="D32" s="168"/>
      <c r="E32" s="135"/>
      <c r="F32" s="169"/>
      <c r="G32" s="169"/>
      <c r="H32" s="155"/>
      <c r="I32" s="155"/>
      <c r="J32" s="155"/>
      <c r="K32" s="155"/>
      <c r="L32" s="155"/>
      <c r="M32" s="155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</row>
    <row r="33" ht="14.25" customHeight="1">
      <c r="A33" s="155" t="str">
        <f>'Microbial Info'!A33</f>
        <v>MCL0011</v>
      </c>
      <c r="B33" s="155"/>
      <c r="C33" s="135"/>
      <c r="D33" s="168"/>
      <c r="E33" s="135"/>
      <c r="F33" s="169"/>
      <c r="G33" s="169"/>
      <c r="H33" s="155"/>
      <c r="I33" s="155"/>
      <c r="J33" s="155"/>
      <c r="K33" s="155"/>
      <c r="L33" s="155"/>
      <c r="M33" s="155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ht="14.25" customHeight="1">
      <c r="A34" s="155" t="str">
        <f>'Microbial Info'!A34</f>
        <v>MCL0012</v>
      </c>
      <c r="B34" s="155"/>
      <c r="C34" s="135"/>
      <c r="D34" s="168"/>
      <c r="E34" s="135"/>
      <c r="F34" s="169"/>
      <c r="G34" s="169"/>
      <c r="H34" s="155"/>
      <c r="I34" s="155"/>
      <c r="J34" s="155"/>
      <c r="K34" s="155"/>
      <c r="L34" s="155"/>
      <c r="M34" s="155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ht="14.25" customHeight="1">
      <c r="A35" s="155" t="str">
        <f>'Microbial Info'!A35</f>
        <v>MCL0013</v>
      </c>
      <c r="B35" s="155"/>
      <c r="C35" s="135"/>
      <c r="D35" s="168"/>
      <c r="E35" s="135"/>
      <c r="F35" s="169"/>
      <c r="G35" s="169"/>
      <c r="H35" s="155"/>
      <c r="I35" s="155"/>
      <c r="J35" s="155"/>
      <c r="K35" s="155"/>
      <c r="L35" s="155"/>
      <c r="M35" s="155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ht="14.25" customHeight="1">
      <c r="A36" s="155" t="str">
        <f>'Microbial Info'!A36</f>
        <v>MCL0014</v>
      </c>
      <c r="B36" s="155"/>
      <c r="C36" s="135"/>
      <c r="D36" s="168"/>
      <c r="E36" s="135"/>
      <c r="F36" s="169"/>
      <c r="G36" s="169"/>
      <c r="H36" s="155"/>
      <c r="I36" s="155"/>
      <c r="J36" s="155"/>
      <c r="K36" s="155"/>
      <c r="L36" s="155"/>
      <c r="M36" s="155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ht="14.25" customHeight="1">
      <c r="A37" s="155" t="str">
        <f>'Microbial Info'!A37</f>
        <v>MCL0015</v>
      </c>
      <c r="B37" s="155"/>
      <c r="C37" s="135"/>
      <c r="D37" s="168"/>
      <c r="E37" s="135"/>
      <c r="F37" s="169"/>
      <c r="G37" s="169"/>
      <c r="H37" s="155"/>
      <c r="I37" s="155"/>
      <c r="J37" s="155"/>
      <c r="K37" s="155"/>
      <c r="L37" s="155"/>
      <c r="M37" s="155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ht="14.25" customHeight="1">
      <c r="A38" s="155" t="str">
        <f>'Microbial Info'!A38</f>
        <v>MCL0016</v>
      </c>
      <c r="B38" s="155"/>
      <c r="C38" s="135"/>
      <c r="D38" s="168"/>
      <c r="E38" s="135"/>
      <c r="F38" s="169"/>
      <c r="G38" s="169"/>
      <c r="H38" s="155"/>
      <c r="I38" s="155"/>
      <c r="J38" s="155"/>
      <c r="K38" s="155"/>
      <c r="L38" s="155"/>
      <c r="M38" s="155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ht="14.25" customHeight="1">
      <c r="A39" s="155" t="str">
        <f>'Microbial Info'!A39</f>
        <v>MCL0017</v>
      </c>
      <c r="B39" s="155"/>
      <c r="C39" s="135"/>
      <c r="D39" s="168"/>
      <c r="E39" s="135"/>
      <c r="F39" s="169"/>
      <c r="G39" s="169"/>
      <c r="H39" s="155"/>
      <c r="I39" s="155"/>
      <c r="J39" s="155"/>
      <c r="K39" s="155"/>
      <c r="L39" s="155"/>
      <c r="M39" s="155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ht="14.25" customHeight="1">
      <c r="A40" s="155" t="str">
        <f>'Microbial Info'!A40</f>
        <v>MCL0018</v>
      </c>
      <c r="B40" s="155"/>
      <c r="C40" s="135"/>
      <c r="D40" s="168"/>
      <c r="E40" s="135"/>
      <c r="F40" s="169"/>
      <c r="G40" s="169"/>
      <c r="H40" s="155"/>
      <c r="I40" s="155"/>
      <c r="J40" s="155"/>
      <c r="K40" s="155"/>
      <c r="L40" s="155"/>
      <c r="M40" s="155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ht="14.25" customHeight="1">
      <c r="A41" s="155" t="str">
        <f>'Microbial Info'!A41</f>
        <v>MCL0019</v>
      </c>
      <c r="B41" s="155"/>
      <c r="C41" s="135"/>
      <c r="D41" s="168"/>
      <c r="E41" s="135"/>
      <c r="F41" s="169"/>
      <c r="G41" s="169"/>
      <c r="H41" s="155"/>
      <c r="I41" s="155"/>
      <c r="J41" s="155"/>
      <c r="K41" s="155"/>
      <c r="L41" s="155"/>
      <c r="M41" s="155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ht="14.25" customHeight="1">
      <c r="A42" s="155" t="str">
        <f>'Microbial Info'!A42</f>
        <v>MCL0020</v>
      </c>
      <c r="B42" s="155"/>
      <c r="C42" s="135"/>
      <c r="D42" s="168"/>
      <c r="E42" s="135"/>
      <c r="F42" s="169"/>
      <c r="G42" s="169"/>
      <c r="H42" s="155"/>
      <c r="I42" s="155"/>
      <c r="J42" s="155"/>
      <c r="K42" s="155"/>
      <c r="L42" s="155"/>
      <c r="M42" s="155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ht="14.25" customHeight="1">
      <c r="A43" s="155" t="str">
        <f>'Microbial Info'!A43</f>
        <v>MCL0021</v>
      </c>
      <c r="B43" s="155"/>
      <c r="C43" s="152"/>
      <c r="D43" s="168"/>
      <c r="E43" s="135"/>
      <c r="F43" s="169"/>
      <c r="G43" s="169"/>
      <c r="H43" s="155"/>
      <c r="I43" s="155"/>
      <c r="J43" s="155"/>
      <c r="K43" s="155"/>
      <c r="L43" s="155"/>
      <c r="M43" s="155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ht="14.25" customHeight="1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ht="14.25" customHeight="1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ht="14.25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ht="14.25" customHeight="1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ht="14.25" customHeight="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ht="14.25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ht="14.25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ht="14.25" customHeight="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ht="14.2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ht="14.2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ht="14.2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ht="14.2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ht="14.2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ht="14.2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ht="14.2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ht="14.25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ht="14.25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ht="14.25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ht="14.25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ht="14.25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ht="14.25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ht="14.25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ht="14.25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ht="14.25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ht="14.25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ht="14.25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ht="14.25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ht="14.25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ht="14.25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ht="14.25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ht="14.25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ht="14.25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ht="14.25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ht="14.2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ht="14.2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ht="14.2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ht="14.2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ht="14.2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ht="14.2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ht="14.2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ht="14.2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ht="14.2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ht="14.2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ht="14.2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ht="14.2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ht="14.2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ht="14.2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ht="14.2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ht="14.2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ht="14.2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ht="14.2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ht="14.2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ht="14.2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ht="14.2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ht="14.2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ht="14.2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ht="14.2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ht="14.2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ht="14.2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ht="14.2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ht="14.2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ht="14.2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ht="14.2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ht="14.2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ht="14.2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ht="14.2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ht="14.2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ht="14.2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ht="14.2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ht="14.2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ht="14.2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ht="14.2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ht="14.2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ht="14.2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ht="14.2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ht="14.2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ht="14.2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ht="14.2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ht="14.2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ht="14.2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ht="14.2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ht="14.2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ht="14.2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ht="14.2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ht="14.2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ht="14.2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ht="14.2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ht="14.2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ht="14.2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ht="14.2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ht="14.2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ht="14.2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ht="14.2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ht="14.2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ht="14.2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ht="14.2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ht="14.2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ht="14.2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ht="14.2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ht="14.2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ht="14.2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ht="14.2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ht="14.2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ht="14.2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ht="14.2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ht="14.2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ht="14.2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ht="14.2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ht="14.2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ht="14.2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ht="14.2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ht="14.2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ht="14.2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ht="14.2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ht="14.2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ht="14.2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ht="14.2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ht="14.2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ht="14.2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ht="14.2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ht="14.2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ht="14.2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ht="14.2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ht="14.2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ht="14.2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ht="14.2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ht="14.2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ht="14.2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ht="14.2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ht="14.2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ht="14.2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ht="14.2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ht="14.2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ht="14.2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ht="14.2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ht="14.2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ht="14.2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ht="14.2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ht="14.2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ht="14.2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ht="14.2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ht="14.2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ht="14.2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ht="14.2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ht="14.2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ht="14.2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ht="14.2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ht="14.2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ht="14.2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ht="14.2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ht="14.2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ht="14.2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ht="14.2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ht="14.2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ht="14.2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ht="14.2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ht="14.2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ht="14.2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ht="14.2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ht="14.2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ht="14.2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ht="14.2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ht="14.2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ht="14.2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ht="14.2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ht="14.2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ht="14.2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ht="14.2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ht="14.2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ht="14.2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ht="14.2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ht="14.2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ht="14.2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ht="14.2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ht="14.2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ht="14.2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ht="14.2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ht="14.2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ht="14.2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ht="14.2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ht="14.2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ht="14.2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ht="14.2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ht="14.2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ht="14.2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ht="14.2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ht="14.2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ht="14.2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ht="14.2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ht="14.2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ht="14.2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ht="14.2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ht="14.2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ht="14.2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ht="14.2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ht="14.2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ht="14.2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ht="14.2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ht="14.2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ht="14.2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ht="14.2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ht="14.2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ht="14.2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ht="14.2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ht="14.2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ht="14.2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ht="14.2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ht="14.2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ht="14.2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ht="14.2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ht="14.2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ht="14.2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ht="14.2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ht="14.2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ht="14.2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ht="14.2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ht="14.2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ht="14.2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ht="14.2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ht="14.2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ht="14.2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ht="14.2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ht="14.2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ht="14.2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ht="14.2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ht="14.2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ht="14.2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ht="14.2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ht="14.2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ht="14.2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ht="14.2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ht="14.2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ht="14.2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ht="14.25" customHeight="1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ht="14.25" customHeight="1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ht="14.25" customHeight="1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ht="14.25" customHeight="1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ht="14.25" customHeight="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ht="14.25" customHeight="1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ht="14.25" customHeight="1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ht="14.25" customHeight="1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ht="14.25" customHeight="1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ht="14.25" customHeight="1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ht="14.25" customHeight="1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ht="14.25" customHeight="1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ht="14.25" customHeight="1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ht="14.25" customHeight="1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ht="14.25" customHeight="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ht="14.25" customHeight="1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ht="14.25" customHeight="1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ht="14.25" customHeight="1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ht="14.25" customHeight="1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ht="14.25" customHeight="1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ht="14.25" customHeight="1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ht="14.25" customHeight="1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ht="14.25" customHeight="1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ht="14.25" customHeight="1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ht="14.25" customHeight="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ht="14.25" customHeight="1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ht="14.25" customHeight="1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ht="14.25" customHeight="1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ht="14.25" customHeight="1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ht="14.25" customHeight="1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ht="14.25" customHeight="1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ht="14.25" customHeight="1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ht="14.25" customHeight="1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ht="14.25" customHeight="1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ht="14.25" customHeight="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ht="14.25" customHeight="1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ht="14.25" customHeight="1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ht="14.25" customHeight="1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ht="14.25" customHeight="1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ht="14.25" customHeight="1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ht="14.25" customHeight="1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ht="14.25" customHeight="1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ht="14.25" customHeight="1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ht="14.25" customHeight="1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ht="14.25" customHeight="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ht="14.25" customHeight="1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ht="14.25" customHeight="1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ht="14.25" customHeight="1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ht="14.25" customHeight="1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ht="14.25" customHeight="1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ht="14.25" customHeight="1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ht="14.25" customHeight="1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ht="14.25" customHeight="1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ht="14.25" customHeight="1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ht="14.25" customHeight="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ht="14.25" customHeight="1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ht="14.25" customHeight="1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ht="14.25" customHeight="1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ht="14.25" customHeight="1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ht="14.25" customHeight="1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ht="14.25" customHeight="1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ht="14.25" customHeight="1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ht="14.25" customHeight="1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ht="14.25" customHeight="1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ht="14.25" customHeight="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ht="14.25" customHeight="1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ht="14.25" customHeight="1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ht="14.25" customHeight="1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ht="14.25" customHeight="1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ht="14.25" customHeight="1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ht="14.25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ht="14.25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ht="14.25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ht="14.25" customHeight="1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ht="14.25" customHeight="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ht="14.25" customHeight="1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ht="14.25" customHeight="1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ht="14.25" customHeight="1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ht="14.25" customHeight="1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ht="14.25" customHeight="1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ht="14.25" customHeight="1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ht="14.25" customHeight="1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ht="14.25" customHeight="1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ht="14.25" customHeight="1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ht="14.25" customHeight="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ht="14.25" customHeight="1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ht="14.25" customHeight="1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ht="14.25" customHeight="1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ht="14.25" customHeight="1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ht="14.25" customHeight="1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ht="14.25" customHeight="1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ht="14.25" customHeight="1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ht="14.25" customHeight="1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ht="14.25" customHeight="1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ht="14.25" customHeight="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ht="14.25" customHeight="1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ht="14.25" customHeight="1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ht="14.25" customHeight="1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ht="14.25" customHeight="1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ht="14.25" customHeight="1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ht="14.25" customHeight="1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ht="14.25" customHeight="1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ht="14.25" customHeight="1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ht="14.25" customHeight="1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ht="14.25" customHeight="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ht="14.25" customHeight="1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ht="14.25" customHeight="1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ht="14.25" customHeight="1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ht="14.25" customHeight="1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ht="14.25" customHeight="1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ht="14.25" customHeight="1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ht="14.25" customHeight="1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ht="14.25" customHeight="1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ht="14.25" customHeight="1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ht="14.25" customHeight="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ht="14.25" customHeight="1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ht="14.25" customHeight="1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ht="14.25" customHeight="1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ht="14.25" customHeight="1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ht="14.25" customHeight="1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ht="14.25" customHeight="1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ht="14.25" customHeight="1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ht="14.25" customHeight="1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ht="14.25" customHeight="1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ht="14.25" customHeight="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ht="14.25" customHeight="1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ht="14.25" customHeight="1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ht="14.25" customHeight="1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ht="14.25" customHeight="1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ht="14.25" customHeight="1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ht="14.25" customHeight="1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ht="14.25" customHeight="1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ht="14.25" customHeight="1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ht="14.25" customHeight="1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ht="14.25" customHeight="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ht="14.25" customHeight="1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ht="14.25" customHeight="1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ht="14.25" customHeight="1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ht="14.25" customHeight="1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ht="14.25" customHeight="1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ht="14.25" customHeight="1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ht="14.25" customHeight="1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ht="14.25" customHeight="1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ht="14.25" customHeight="1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ht="14.25" customHeight="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ht="14.25" customHeight="1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ht="14.25" customHeight="1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ht="14.25" customHeight="1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ht="14.25" customHeight="1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ht="14.25" customHeight="1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ht="14.25" customHeight="1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ht="14.25" customHeight="1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ht="14.25" customHeight="1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ht="14.25" customHeight="1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ht="14.25" customHeight="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ht="14.25" customHeight="1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ht="14.25" customHeight="1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ht="14.25" customHeight="1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ht="14.25" customHeight="1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ht="14.25" customHeight="1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ht="14.25" customHeight="1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ht="14.25" customHeight="1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ht="14.25" customHeight="1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ht="14.25" customHeight="1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ht="14.25" customHeight="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ht="14.25" customHeight="1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ht="14.25" customHeight="1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ht="14.25" customHeight="1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ht="14.25" customHeight="1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ht="14.25" customHeight="1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ht="14.25" customHeight="1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ht="14.25" customHeight="1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ht="14.25" customHeight="1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ht="14.25" customHeight="1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ht="14.25" customHeight="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ht="14.25" customHeight="1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ht="14.25" customHeight="1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ht="14.25" customHeight="1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ht="14.25" customHeight="1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ht="14.25" customHeight="1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ht="14.25" customHeight="1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ht="14.25" customHeight="1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ht="14.25" customHeight="1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ht="14.25" customHeight="1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ht="14.25" customHeight="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ht="14.25" customHeight="1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ht="14.25" customHeight="1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ht="14.25" customHeight="1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ht="14.25" customHeight="1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ht="14.25" customHeight="1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ht="14.25" customHeight="1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ht="14.25" customHeight="1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ht="14.25" customHeight="1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ht="14.25" customHeight="1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ht="14.25" customHeight="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ht="14.25" customHeight="1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ht="14.25" customHeight="1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ht="14.25" customHeight="1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ht="14.25" customHeight="1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ht="14.25" customHeight="1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ht="14.25" customHeight="1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ht="14.25" customHeight="1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ht="14.25" customHeight="1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ht="14.25" customHeight="1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ht="14.25" customHeight="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ht="14.25" customHeight="1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ht="14.25" customHeight="1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ht="14.25" customHeight="1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ht="14.25" customHeight="1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ht="14.25" customHeight="1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ht="14.25" customHeight="1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ht="14.25" customHeight="1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ht="14.25" customHeight="1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ht="14.25" customHeight="1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ht="14.25" customHeight="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ht="14.25" customHeight="1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ht="14.25" customHeight="1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ht="14.25" customHeight="1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ht="14.25" customHeight="1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ht="14.25" customHeight="1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ht="14.25" customHeight="1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ht="14.25" customHeight="1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ht="14.25" customHeight="1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ht="14.25" customHeight="1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ht="14.25" customHeight="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ht="14.25" customHeight="1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ht="14.25" customHeight="1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ht="14.25" customHeight="1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ht="14.25" customHeight="1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ht="14.25" customHeight="1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ht="14.25" customHeight="1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ht="14.25" customHeight="1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ht="14.25" customHeight="1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ht="14.25" customHeight="1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ht="14.25" customHeight="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ht="14.25" customHeight="1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ht="14.25" customHeight="1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ht="14.25" customHeight="1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ht="14.25" customHeight="1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ht="14.25" customHeight="1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ht="14.25" customHeight="1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ht="14.25" customHeight="1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ht="14.25" customHeight="1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ht="14.25" customHeight="1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ht="14.25" customHeight="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ht="14.25" customHeight="1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ht="14.25" customHeight="1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ht="14.25" customHeight="1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ht="14.25" customHeight="1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ht="14.25" customHeight="1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ht="14.25" customHeight="1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ht="14.25" customHeight="1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ht="14.25" customHeight="1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ht="14.25" customHeight="1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ht="14.25" customHeight="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ht="14.25" customHeight="1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ht="14.25" customHeight="1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ht="14.25" customHeight="1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ht="14.25" customHeight="1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ht="14.25" customHeight="1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ht="14.25" customHeight="1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ht="14.25" customHeight="1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ht="14.25" customHeight="1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ht="14.25" customHeight="1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ht="14.25" customHeight="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ht="14.25" customHeight="1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ht="14.25" customHeight="1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ht="14.25" customHeight="1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ht="14.25" customHeight="1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ht="14.25" customHeight="1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ht="14.25" customHeight="1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ht="14.25" customHeight="1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ht="14.25" customHeight="1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ht="14.25" customHeight="1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ht="14.25" customHeight="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ht="14.25" customHeight="1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ht="14.25" customHeight="1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ht="14.25" customHeight="1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ht="14.25" customHeight="1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ht="14.25" customHeight="1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ht="14.25" customHeight="1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ht="14.25" customHeight="1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ht="14.25" customHeight="1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ht="14.25" customHeight="1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ht="14.25" customHeight="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ht="14.25" customHeight="1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ht="14.25" customHeight="1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ht="14.25" customHeight="1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ht="14.25" customHeight="1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ht="14.25" customHeight="1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ht="14.25" customHeight="1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ht="14.25" customHeight="1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ht="14.25" customHeight="1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ht="14.25" customHeight="1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ht="14.25" customHeight="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ht="14.25" customHeight="1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ht="14.25" customHeight="1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ht="14.25" customHeight="1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ht="14.25" customHeight="1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ht="14.25" customHeight="1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ht="14.25" customHeight="1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ht="14.25" customHeight="1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ht="14.25" customHeight="1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ht="14.25" customHeight="1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ht="14.25" customHeight="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ht="14.25" customHeight="1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ht="14.25" customHeight="1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ht="14.25" customHeight="1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ht="14.25" customHeight="1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ht="14.25" customHeight="1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ht="14.25" customHeight="1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ht="14.25" customHeight="1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ht="14.25" customHeight="1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ht="14.25" customHeight="1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ht="14.25" customHeight="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ht="14.25" customHeight="1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ht="14.25" customHeight="1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ht="14.25" customHeight="1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ht="14.25" customHeight="1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ht="14.25" customHeight="1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ht="14.25" customHeight="1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ht="14.25" customHeight="1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ht="14.25" customHeight="1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ht="14.25" customHeight="1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ht="14.25" customHeight="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ht="14.25" customHeight="1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ht="14.25" customHeight="1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ht="14.25" customHeight="1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ht="14.25" customHeight="1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ht="14.25" customHeight="1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ht="14.25" customHeight="1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ht="14.25" customHeight="1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ht="14.25" customHeight="1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ht="14.25" customHeight="1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ht="14.25" customHeight="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ht="14.25" customHeight="1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ht="14.25" customHeight="1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ht="14.25" customHeight="1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ht="14.25" customHeight="1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ht="14.25" customHeight="1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ht="14.25" customHeight="1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ht="14.25" customHeight="1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ht="14.25" customHeight="1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ht="14.25" customHeight="1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ht="14.25" customHeight="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ht="14.25" customHeight="1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ht="14.25" customHeight="1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ht="14.25" customHeight="1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ht="14.25" customHeight="1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ht="14.25" customHeight="1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ht="14.25" customHeight="1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ht="14.25" customHeight="1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ht="14.25" customHeight="1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ht="14.25" customHeight="1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ht="14.25" customHeight="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ht="14.25" customHeight="1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ht="14.25" customHeight="1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ht="14.25" customHeight="1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ht="14.25" customHeight="1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ht="14.25" customHeight="1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ht="14.25" customHeight="1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ht="14.25" customHeight="1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ht="14.25" customHeight="1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ht="14.25" customHeight="1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ht="14.25" customHeight="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ht="14.25" customHeight="1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ht="14.25" customHeight="1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ht="14.25" customHeight="1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ht="14.25" customHeight="1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ht="14.25" customHeight="1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ht="14.25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ht="14.25" customHeight="1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ht="14.25" customHeight="1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ht="14.25" customHeight="1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ht="14.25" customHeight="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ht="14.25" customHeight="1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ht="14.25" customHeight="1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ht="14.25" customHeight="1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ht="14.25" customHeight="1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ht="14.25" customHeight="1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ht="14.25" customHeight="1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ht="14.25" customHeight="1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ht="14.25" customHeight="1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ht="14.25" customHeight="1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ht="14.25" customHeight="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ht="14.25" customHeight="1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ht="14.25" customHeight="1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ht="14.25" customHeight="1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ht="14.25" customHeight="1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ht="14.25" customHeight="1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ht="14.25" customHeight="1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ht="14.25" customHeight="1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ht="14.25" customHeight="1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ht="14.25" customHeight="1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ht="14.25" customHeight="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ht="14.25" customHeight="1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ht="14.25" customHeight="1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ht="14.25" customHeight="1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ht="14.25" customHeight="1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ht="14.25" customHeight="1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ht="14.25" customHeight="1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ht="14.25" customHeight="1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ht="14.25" customHeight="1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ht="14.25" customHeight="1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ht="14.25" customHeight="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ht="14.25" customHeight="1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ht="14.25" customHeight="1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ht="14.25" customHeight="1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ht="14.25" customHeight="1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ht="14.25" customHeight="1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ht="14.25" customHeight="1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ht="14.25" customHeight="1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ht="14.25" customHeight="1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ht="14.25" customHeight="1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ht="14.25" customHeight="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ht="14.25" customHeight="1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ht="14.25" customHeight="1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ht="14.25" customHeight="1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ht="14.25" customHeight="1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ht="14.25" customHeight="1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ht="14.25" customHeight="1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ht="14.25" customHeight="1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ht="14.25" customHeight="1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ht="14.25" customHeight="1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ht="14.25" customHeight="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ht="14.25" customHeight="1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ht="14.25" customHeight="1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ht="14.25" customHeight="1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ht="14.25" customHeight="1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ht="14.25" customHeight="1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ht="14.25" customHeight="1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ht="14.25" customHeight="1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ht="14.25" customHeight="1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ht="14.25" customHeight="1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ht="14.25" customHeight="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ht="14.25" customHeight="1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ht="14.25" customHeight="1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ht="14.25" customHeight="1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ht="14.25" customHeight="1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ht="14.25" customHeight="1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ht="14.25" customHeight="1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ht="14.25" customHeight="1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ht="14.25" customHeight="1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ht="14.25" customHeight="1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ht="14.25" customHeight="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ht="14.25" customHeight="1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ht="14.25" customHeight="1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ht="14.25" customHeight="1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ht="14.25" customHeight="1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ht="14.25" customHeight="1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ht="14.25" customHeight="1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ht="14.25" customHeight="1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ht="14.25" customHeight="1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ht="14.25" customHeight="1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ht="14.25" customHeight="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ht="14.25" customHeight="1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ht="14.25" customHeight="1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ht="14.25" customHeight="1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ht="14.25" customHeight="1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ht="14.25" customHeight="1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ht="14.25" customHeight="1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ht="14.25" customHeight="1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ht="14.25" customHeight="1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ht="14.25" customHeight="1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ht="14.25" customHeight="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ht="14.25" customHeight="1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ht="14.25" customHeight="1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ht="14.25" customHeight="1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ht="14.25" customHeight="1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ht="14.25" customHeight="1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ht="14.25" customHeight="1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ht="14.25" customHeight="1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ht="14.25" customHeight="1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ht="14.25" customHeight="1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ht="14.25" customHeight="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ht="14.25" customHeight="1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ht="14.25" customHeight="1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ht="14.25" customHeight="1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ht="14.25" customHeight="1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ht="14.25" customHeight="1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ht="14.25" customHeight="1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ht="14.25" customHeight="1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ht="14.25" customHeight="1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ht="14.25" customHeight="1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ht="14.25" customHeight="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ht="14.25" customHeight="1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ht="14.25" customHeight="1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ht="14.25" customHeight="1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ht="14.25" customHeight="1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ht="14.25" customHeight="1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ht="14.25" customHeight="1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ht="14.25" customHeight="1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ht="14.25" customHeight="1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ht="14.25" customHeight="1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ht="14.25" customHeight="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ht="14.25" customHeight="1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ht="14.25" customHeight="1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ht="14.25" customHeight="1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ht="14.25" customHeight="1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ht="14.25" customHeight="1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ht="14.25" customHeight="1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ht="14.25" customHeight="1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ht="14.25" customHeight="1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ht="14.25" customHeight="1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ht="14.25" customHeight="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ht="14.25" customHeight="1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ht="14.25" customHeight="1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ht="14.25" customHeight="1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ht="14.25" customHeight="1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ht="14.25" customHeight="1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ht="14.25" customHeight="1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ht="14.25" customHeight="1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ht="14.25" customHeight="1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ht="14.25" customHeight="1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ht="14.25" customHeight="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ht="14.25" customHeight="1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ht="14.25" customHeight="1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ht="14.25" customHeight="1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ht="14.25" customHeight="1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ht="14.25" customHeight="1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ht="14.25" customHeight="1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ht="14.25" customHeight="1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ht="14.25" customHeight="1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ht="14.25" customHeight="1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ht="14.25" customHeight="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ht="14.25" customHeight="1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ht="14.25" customHeight="1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ht="14.25" customHeight="1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ht="14.25" customHeight="1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ht="14.25" customHeight="1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ht="14.25" customHeight="1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ht="14.25" customHeight="1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ht="14.25" customHeight="1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ht="14.25" customHeight="1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ht="14.25" customHeight="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ht="14.25" customHeight="1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ht="14.25" customHeight="1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ht="14.25" customHeight="1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ht="14.25" customHeight="1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ht="14.25" customHeight="1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ht="14.25" customHeight="1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ht="14.25" customHeight="1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ht="14.25" customHeight="1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ht="14.25" customHeight="1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ht="14.25" customHeight="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ht="14.25" customHeight="1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ht="14.25" customHeight="1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ht="14.25" customHeight="1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ht="14.25" customHeight="1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ht="14.25" customHeight="1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ht="14.25" customHeight="1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ht="14.25" customHeight="1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ht="14.25" customHeight="1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ht="14.25" customHeight="1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ht="14.25" customHeight="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ht="14.25" customHeight="1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ht="14.25" customHeight="1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ht="14.25" customHeight="1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ht="14.25" customHeight="1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ht="14.25" customHeight="1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ht="14.25" customHeight="1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ht="14.25" customHeight="1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ht="14.25" customHeight="1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ht="14.25" customHeight="1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ht="14.25" customHeight="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ht="14.25" customHeight="1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ht="14.25" customHeight="1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ht="14.25" customHeight="1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ht="14.25" customHeight="1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ht="14.25" customHeight="1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ht="14.25" customHeight="1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ht="14.25" customHeight="1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ht="14.25" customHeight="1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ht="14.25" customHeight="1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ht="14.25" customHeight="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ht="14.25" customHeight="1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ht="14.25" customHeight="1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ht="14.25" customHeight="1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ht="14.25" customHeight="1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ht="14.25" customHeight="1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ht="14.25" customHeight="1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ht="14.25" customHeight="1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ht="14.25" customHeight="1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ht="14.25" customHeight="1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ht="14.25" customHeight="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ht="14.25" customHeight="1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ht="14.25" customHeight="1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ht="14.25" customHeight="1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ht="14.25" customHeight="1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ht="14.25" customHeight="1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ht="14.25" customHeight="1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ht="14.25" customHeight="1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ht="14.25" customHeight="1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ht="14.25" customHeight="1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ht="14.25" customHeight="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ht="14.25" customHeight="1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ht="14.25" customHeight="1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ht="14.25" customHeight="1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ht="14.25" customHeight="1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ht="14.25" customHeight="1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ht="14.25" customHeight="1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ht="14.25" customHeight="1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ht="14.25" customHeight="1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ht="14.25" customHeight="1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ht="14.25" customHeight="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ht="14.25" customHeight="1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ht="14.25" customHeight="1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ht="14.25" customHeight="1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ht="14.25" customHeight="1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ht="14.25" customHeight="1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ht="14.25" customHeight="1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ht="14.25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ht="14.25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ht="14.25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ht="14.25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ht="14.25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ht="14.25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ht="14.25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ht="14.25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ht="14.25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ht="14.25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ht="14.25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ht="14.25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ht="14.25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ht="14.25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ht="14.25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ht="14.25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ht="14.25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ht="14.25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ht="14.25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ht="14.25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ht="14.25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ht="14.25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ht="14.25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ht="14.25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ht="14.25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ht="14.25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ht="14.25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ht="14.25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ht="14.25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ht="14.25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ht="14.25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ht="14.25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ht="14.25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ht="14.25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ht="14.25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ht="14.25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ht="14.25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ht="14.25" customHeight="1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ht="14.25" customHeight="1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ht="14.25" customHeight="1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ht="14.25" customHeight="1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ht="14.25" customHeight="1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ht="14.25" customHeight="1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ht="14.25" customHeight="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ht="14.25" customHeight="1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ht="14.25" customHeight="1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ht="14.25" customHeight="1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ht="14.25" customHeight="1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ht="14.25" customHeight="1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ht="14.25" customHeight="1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ht="14.25" customHeight="1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ht="14.25" customHeight="1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ht="14.25" customHeight="1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ht="14.25" customHeight="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ht="14.25" customHeight="1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ht="14.25" customHeight="1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ht="14.25" customHeight="1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ht="14.25" customHeight="1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ht="14.25" customHeight="1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ht="14.25" customHeight="1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ht="14.25" customHeight="1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ht="14.25" customHeight="1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ht="14.25" customHeight="1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ht="14.25" customHeight="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ht="14.25" customHeight="1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ht="14.25" customHeight="1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ht="14.25" customHeight="1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ht="14.25" customHeight="1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ht="14.25" customHeight="1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ht="14.25" customHeight="1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ht="14.25" customHeight="1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ht="14.25" customHeight="1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ht="14.25" customHeight="1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ht="14.25" customHeight="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ht="14.25" customHeight="1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ht="14.25" customHeight="1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ht="14.25" customHeight="1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ht="14.25" customHeight="1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ht="14.25" customHeight="1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ht="14.25" customHeight="1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ht="14.25" customHeight="1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ht="14.25" customHeight="1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ht="14.25" customHeight="1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ht="14.25" customHeight="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ht="14.25" customHeight="1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ht="14.25" customHeight="1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ht="14.25" customHeight="1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ht="14.25" customHeight="1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ht="14.25" customHeight="1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ht="14.25" customHeight="1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ht="14.25" customHeight="1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ht="14.25" customHeight="1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ht="14.25" customHeight="1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ht="14.25" customHeight="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ht="14.25" customHeight="1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ht="14.25" customHeight="1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ht="14.25" customHeight="1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ht="14.25" customHeight="1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ht="14.25" customHeight="1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ht="14.25" customHeight="1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ht="14.25" customHeight="1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ht="14.25" customHeight="1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ht="14.25" customHeight="1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ht="14.25" customHeight="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ht="14.25" customHeight="1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ht="14.25" customHeight="1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ht="14.25" customHeight="1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ht="14.25" customHeight="1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ht="14.25" customHeight="1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ht="14.25" customHeight="1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ht="14.25" customHeight="1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ht="14.25" customHeight="1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 ht="14.25" customHeight="1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</sheetData>
  <mergeCells count="1">
    <mergeCell ref="D2:M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14"/>
    <col customWidth="1" min="2" max="2" width="12.71"/>
    <col customWidth="1" min="3" max="3" width="19.43"/>
    <col customWidth="1" min="4" max="4" width="10.71"/>
    <col customWidth="1" min="5" max="26" width="8.71"/>
  </cols>
  <sheetData>
    <row r="1" ht="14.25" customHeight="1">
      <c r="A1" s="171" t="s">
        <v>288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ht="14.25" customHeight="1"/>
    <row r="3" ht="14.25" customHeight="1"/>
    <row r="4" ht="14.25" customHeight="1">
      <c r="B4" s="162" t="s">
        <v>289</v>
      </c>
      <c r="C4" s="172" t="s">
        <v>290</v>
      </c>
    </row>
    <row r="5" ht="14.25" customHeight="1">
      <c r="B5" s="173" t="s">
        <v>169</v>
      </c>
      <c r="C5" s="172">
        <v>2.0</v>
      </c>
    </row>
    <row r="6" ht="14.25" customHeight="1">
      <c r="B6" s="173" t="s">
        <v>174</v>
      </c>
      <c r="C6" s="172">
        <v>8.0</v>
      </c>
    </row>
    <row r="7" ht="14.25" customHeight="1">
      <c r="B7" s="173" t="s">
        <v>291</v>
      </c>
      <c r="C7" s="172">
        <v>10.0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K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26" width="8.71"/>
  </cols>
  <sheetData>
    <row r="1" ht="14.25" customHeight="1"/>
    <row r="2" ht="14.25" customHeight="1">
      <c r="B2" s="174" t="s">
        <v>292</v>
      </c>
      <c r="C2" s="175" t="s">
        <v>293</v>
      </c>
    </row>
    <row r="3" ht="14.25" customHeight="1">
      <c r="B3" s="172" t="s">
        <v>294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acer</dc:creator>
</cp:coreProperties>
</file>